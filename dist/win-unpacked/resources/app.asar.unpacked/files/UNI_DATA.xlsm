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3.xml" ContentType="application/vnd.openxmlformats-officedocument.drawing+xml"/>
  <Override PartName="/xl/tables/table7.xml" ContentType="application/vnd.openxmlformats-officedocument.spreadsheetml.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onal\electron_app\files\"/>
    </mc:Choice>
  </mc:AlternateContent>
  <xr:revisionPtr revIDLastSave="0" documentId="8_{92AFD750-963E-49F5-9462-345781984F48}" xr6:coauthVersionLast="47" xr6:coauthVersionMax="47" xr10:uidLastSave="{00000000-0000-0000-0000-000000000000}"/>
  <bookViews>
    <workbookView xWindow="-120" yWindow="-120" windowWidth="29040" windowHeight="15840" tabRatio="691" activeTab="3" xr2:uid="{4C198FA5-81F5-40D9-ADAA-8BEB4C28270C}"/>
  </bookViews>
  <sheets>
    <sheet name="INPUT_ISSUER" sheetId="3" r:id="rId1"/>
    <sheet name="INPUT_BONDS" sheetId="2" r:id="rId2"/>
    <sheet name="INPUT_DEALS" sheetId="1" r:id="rId3"/>
    <sheet name="EUSW" sheetId="4" r:id="rId4"/>
    <sheet name="INPUT_RANK" sheetId="10" r:id="rId5"/>
    <sheet name="ERSTE_EUSW" sheetId="9" r:id="rId6"/>
    <sheet name="INPUT_BONDS_FRN" sheetId="5" r:id="rId7"/>
    <sheet name="INPUT_BONDS (2)" sheetId="6" r:id="rId8"/>
    <sheet name="INPUT_BONDS_orig" sheetId="7" r:id="rId9"/>
    <sheet name="INPUT_DEALS_orig" sheetId="8" r:id="rId10"/>
  </sheets>
  <externalReferences>
    <externalReference r:id="rId11"/>
  </externalReferences>
  <definedNames>
    <definedName name="_xlnm._FilterDatabase" localSheetId="2" hidden="1">INPUT_DEALS!$A$1:$G$75</definedName>
    <definedName name="ExterneDaten_1" localSheetId="5" hidden="1">ERSTE_EUSW!$A$1:$B$19</definedName>
    <definedName name="ExterneDaten_4" localSheetId="1" hidden="1">INPUT_BONDS!$A$1:$Z$71</definedName>
    <definedName name="ExterneDaten_4" localSheetId="7" hidden="1">'INPUT_BONDS (2)'!$A$1:$AA$73</definedName>
    <definedName name="ExterneDaten_4" localSheetId="8" hidden="1">INPUT_BONDS_orig!$A$1:$AA$73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K3" i="2" l="1"/>
  <c r="AK4" i="2"/>
  <c r="AK5" i="2"/>
  <c r="AK6" i="2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K43" i="2"/>
  <c r="AK44" i="2"/>
  <c r="AK45" i="2"/>
  <c r="AK46" i="2"/>
  <c r="AK47" i="2"/>
  <c r="AK48" i="2"/>
  <c r="AK49" i="2"/>
  <c r="AK50" i="2"/>
  <c r="AK51" i="2"/>
  <c r="AK52" i="2"/>
  <c r="AK53" i="2"/>
  <c r="AK54" i="2"/>
  <c r="AK55" i="2"/>
  <c r="AK56" i="2"/>
  <c r="AK57" i="2"/>
  <c r="AK58" i="2"/>
  <c r="AK59" i="2"/>
  <c r="AK60" i="2"/>
  <c r="AK61" i="2"/>
  <c r="AK62" i="2"/>
  <c r="AK63" i="2"/>
  <c r="AK64" i="2"/>
  <c r="AK65" i="2"/>
  <c r="AK66" i="2"/>
  <c r="AK67" i="2"/>
  <c r="AK68" i="2"/>
  <c r="AK69" i="2"/>
  <c r="AK70" i="2"/>
  <c r="AK2" i="2"/>
  <c r="C2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AD73" i="7"/>
  <c r="AC73" i="7"/>
  <c r="AB73" i="7"/>
  <c r="I73" i="7"/>
  <c r="AD72" i="7"/>
  <c r="AC72" i="7"/>
  <c r="I72" i="7"/>
  <c r="AB72" i="7" s="1"/>
  <c r="AD71" i="7"/>
  <c r="AC71" i="7"/>
  <c r="I71" i="7"/>
  <c r="AB71" i="7" s="1"/>
  <c r="AD70" i="7"/>
  <c r="AC70" i="7"/>
  <c r="AH70" i="7" s="1"/>
  <c r="AI70" i="7" s="1"/>
  <c r="I70" i="7"/>
  <c r="AB70" i="7" s="1"/>
  <c r="AD69" i="7"/>
  <c r="AC69" i="7"/>
  <c r="AB69" i="7"/>
  <c r="I69" i="7"/>
  <c r="AD68" i="7"/>
  <c r="AC68" i="7"/>
  <c r="I68" i="7"/>
  <c r="AB68" i="7" s="1"/>
  <c r="AD67" i="7"/>
  <c r="AC67" i="7"/>
  <c r="I67" i="7"/>
  <c r="AB67" i="7" s="1"/>
  <c r="AD66" i="7"/>
  <c r="AC66" i="7"/>
  <c r="I66" i="7"/>
  <c r="AB66" i="7" s="1"/>
  <c r="AD65" i="7"/>
  <c r="AC65" i="7"/>
  <c r="AB65" i="7"/>
  <c r="I65" i="7"/>
  <c r="AD64" i="7"/>
  <c r="AC64" i="7"/>
  <c r="AH64" i="7" s="1"/>
  <c r="AI64" i="7" s="1"/>
  <c r="I64" i="7"/>
  <c r="AB64" i="7" s="1"/>
  <c r="AD63" i="7"/>
  <c r="AC63" i="7"/>
  <c r="I63" i="7"/>
  <c r="AB63" i="7" s="1"/>
  <c r="AD62" i="7"/>
  <c r="AC62" i="7"/>
  <c r="I62" i="7"/>
  <c r="AB62" i="7" s="1"/>
  <c r="AD61" i="7"/>
  <c r="AC61" i="7"/>
  <c r="AB61" i="7"/>
  <c r="I61" i="7"/>
  <c r="AD60" i="7"/>
  <c r="AC60" i="7"/>
  <c r="I60" i="7"/>
  <c r="AB60" i="7" s="1"/>
  <c r="AD59" i="7"/>
  <c r="AC59" i="7"/>
  <c r="I59" i="7"/>
  <c r="AB59" i="7" s="1"/>
  <c r="AD58" i="7"/>
  <c r="AC58" i="7"/>
  <c r="I58" i="7"/>
  <c r="AB58" i="7" s="1"/>
  <c r="AD57" i="7"/>
  <c r="AC57" i="7"/>
  <c r="AB57" i="7"/>
  <c r="I57" i="7"/>
  <c r="AH56" i="7"/>
  <c r="AI56" i="7" s="1"/>
  <c r="AD56" i="7"/>
  <c r="AC56" i="7"/>
  <c r="I56" i="7"/>
  <c r="AB56" i="7" s="1"/>
  <c r="AD55" i="7"/>
  <c r="AC55" i="7"/>
  <c r="I55" i="7"/>
  <c r="AB55" i="7" s="1"/>
  <c r="AD54" i="7"/>
  <c r="AC54" i="7"/>
  <c r="I54" i="7"/>
  <c r="AB54" i="7" s="1"/>
  <c r="AD53" i="7"/>
  <c r="AC53" i="7"/>
  <c r="AH53" i="7" s="1"/>
  <c r="AI53" i="7" s="1"/>
  <c r="AB53" i="7"/>
  <c r="I53" i="7"/>
  <c r="AD52" i="7"/>
  <c r="AC52" i="7"/>
  <c r="AH52" i="7" s="1"/>
  <c r="AI52" i="7" s="1"/>
  <c r="I52" i="7"/>
  <c r="AB52" i="7" s="1"/>
  <c r="AD51" i="7"/>
  <c r="AC51" i="7"/>
  <c r="I51" i="7"/>
  <c r="AB51" i="7" s="1"/>
  <c r="AD50" i="7"/>
  <c r="AC50" i="7"/>
  <c r="I50" i="7"/>
  <c r="AB50" i="7" s="1"/>
  <c r="AD49" i="7"/>
  <c r="AC49" i="7"/>
  <c r="AB49" i="7"/>
  <c r="I49" i="7"/>
  <c r="AD48" i="7"/>
  <c r="AC48" i="7"/>
  <c r="I48" i="7"/>
  <c r="AB48" i="7" s="1"/>
  <c r="AD47" i="7"/>
  <c r="AC47" i="7"/>
  <c r="I47" i="7"/>
  <c r="AB47" i="7" s="1"/>
  <c r="AD46" i="7"/>
  <c r="AC46" i="7"/>
  <c r="I46" i="7"/>
  <c r="AB46" i="7" s="1"/>
  <c r="AD45" i="7"/>
  <c r="AC45" i="7"/>
  <c r="AB45" i="7"/>
  <c r="I45" i="7"/>
  <c r="AD44" i="7"/>
  <c r="AC44" i="7"/>
  <c r="I44" i="7"/>
  <c r="AB44" i="7" s="1"/>
  <c r="AD43" i="7"/>
  <c r="AC43" i="7"/>
  <c r="I43" i="7"/>
  <c r="AB43" i="7" s="1"/>
  <c r="AD42" i="7"/>
  <c r="AC42" i="7"/>
  <c r="I42" i="7"/>
  <c r="AB42" i="7" s="1"/>
  <c r="AD41" i="7"/>
  <c r="AC41" i="7"/>
  <c r="AB41" i="7"/>
  <c r="I41" i="7"/>
  <c r="AD40" i="7"/>
  <c r="AC40" i="7"/>
  <c r="I40" i="7"/>
  <c r="AB40" i="7" s="1"/>
  <c r="AB39" i="7"/>
  <c r="I39" i="7"/>
  <c r="AD38" i="7"/>
  <c r="AC38" i="7"/>
  <c r="I38" i="7"/>
  <c r="AB38" i="7" s="1"/>
  <c r="AD37" i="7"/>
  <c r="AC37" i="7"/>
  <c r="I37" i="7"/>
  <c r="AB37" i="7" s="1"/>
  <c r="AD36" i="7"/>
  <c r="AC36" i="7"/>
  <c r="I36" i="7"/>
  <c r="AB36" i="7" s="1"/>
  <c r="AD35" i="7"/>
  <c r="AC35" i="7"/>
  <c r="AB35" i="7"/>
  <c r="I35" i="7"/>
  <c r="AD34" i="7"/>
  <c r="AC34" i="7"/>
  <c r="I34" i="7"/>
  <c r="AB34" i="7" s="1"/>
  <c r="AD33" i="7"/>
  <c r="AC33" i="7"/>
  <c r="I33" i="7"/>
  <c r="AB33" i="7" s="1"/>
  <c r="AD32" i="7"/>
  <c r="AC32" i="7"/>
  <c r="I32" i="7"/>
  <c r="AB32" i="7" s="1"/>
  <c r="AD31" i="7"/>
  <c r="AC31" i="7"/>
  <c r="AB31" i="7"/>
  <c r="I31" i="7"/>
  <c r="AD30" i="7"/>
  <c r="AC30" i="7"/>
  <c r="I30" i="7"/>
  <c r="AB30" i="7" s="1"/>
  <c r="AD29" i="7"/>
  <c r="AC29" i="7"/>
  <c r="I29" i="7"/>
  <c r="AB29" i="7" s="1"/>
  <c r="AD28" i="7"/>
  <c r="AC28" i="7"/>
  <c r="I28" i="7"/>
  <c r="AB28" i="7" s="1"/>
  <c r="AD27" i="7"/>
  <c r="AC27" i="7"/>
  <c r="AB27" i="7"/>
  <c r="I27" i="7"/>
  <c r="AD26" i="7"/>
  <c r="AC26" i="7"/>
  <c r="AH26" i="7" s="1"/>
  <c r="AI26" i="7" s="1"/>
  <c r="I26" i="7"/>
  <c r="AB26" i="7" s="1"/>
  <c r="AD25" i="7"/>
  <c r="AC25" i="7"/>
  <c r="I25" i="7"/>
  <c r="AB25" i="7" s="1"/>
  <c r="AD24" i="7"/>
  <c r="AC24" i="7"/>
  <c r="I24" i="7"/>
  <c r="AB24" i="7" s="1"/>
  <c r="AD23" i="7"/>
  <c r="AC23" i="7"/>
  <c r="AH23" i="7" s="1"/>
  <c r="AI23" i="7" s="1"/>
  <c r="AB23" i="7"/>
  <c r="I23" i="7"/>
  <c r="AD22" i="7"/>
  <c r="AC22" i="7"/>
  <c r="I22" i="7"/>
  <c r="AB22" i="7" s="1"/>
  <c r="AD21" i="7"/>
  <c r="AC21" i="7"/>
  <c r="I21" i="7"/>
  <c r="AB21" i="7" s="1"/>
  <c r="AD20" i="7"/>
  <c r="AC20" i="7"/>
  <c r="I20" i="7"/>
  <c r="AB20" i="7" s="1"/>
  <c r="AD19" i="7"/>
  <c r="AC19" i="7"/>
  <c r="AB19" i="7"/>
  <c r="I19" i="7"/>
  <c r="AD18" i="7"/>
  <c r="AC18" i="7"/>
  <c r="I18" i="7"/>
  <c r="AB18" i="7" s="1"/>
  <c r="AD17" i="7"/>
  <c r="AC17" i="7"/>
  <c r="I17" i="7"/>
  <c r="AB17" i="7" s="1"/>
  <c r="AD16" i="7"/>
  <c r="AC16" i="7"/>
  <c r="I16" i="7"/>
  <c r="AB16" i="7" s="1"/>
  <c r="AD15" i="7"/>
  <c r="AC15" i="7"/>
  <c r="AB15" i="7"/>
  <c r="I15" i="7"/>
  <c r="AD14" i="7"/>
  <c r="AC14" i="7"/>
  <c r="I14" i="7"/>
  <c r="AB14" i="7" s="1"/>
  <c r="AD13" i="7"/>
  <c r="AC13" i="7"/>
  <c r="I13" i="7"/>
  <c r="AB13" i="7" s="1"/>
  <c r="AD12" i="7"/>
  <c r="AC12" i="7"/>
  <c r="I12" i="7"/>
  <c r="AB12" i="7" s="1"/>
  <c r="AD11" i="7"/>
  <c r="AC11" i="7"/>
  <c r="AB11" i="7"/>
  <c r="I11" i="7"/>
  <c r="AD10" i="7"/>
  <c r="AC10" i="7"/>
  <c r="I10" i="7"/>
  <c r="AB10" i="7" s="1"/>
  <c r="AD9" i="7"/>
  <c r="AC9" i="7"/>
  <c r="I9" i="7"/>
  <c r="AB9" i="7" s="1"/>
  <c r="AD8" i="7"/>
  <c r="AC8" i="7"/>
  <c r="AH8" i="7" s="1"/>
  <c r="AI8" i="7" s="1"/>
  <c r="I8" i="7"/>
  <c r="AB8" i="7" s="1"/>
  <c r="AD7" i="7"/>
  <c r="AC7" i="7"/>
  <c r="AB7" i="7"/>
  <c r="I7" i="7"/>
  <c r="AD6" i="7"/>
  <c r="AC6" i="7"/>
  <c r="I6" i="7"/>
  <c r="AB6" i="7" s="1"/>
  <c r="AD5" i="7"/>
  <c r="AC5" i="7"/>
  <c r="I5" i="7"/>
  <c r="AB5" i="7" s="1"/>
  <c r="AD4" i="7"/>
  <c r="AC4" i="7"/>
  <c r="I4" i="7"/>
  <c r="AB4" i="7" s="1"/>
  <c r="AD3" i="7"/>
  <c r="AC3" i="7"/>
  <c r="AB3" i="7"/>
  <c r="I3" i="7"/>
  <c r="AD2" i="7"/>
  <c r="AC2" i="7"/>
  <c r="I2" i="7"/>
  <c r="AB2" i="7" s="1"/>
  <c r="AD73" i="6"/>
  <c r="AH73" i="6" s="1"/>
  <c r="AI73" i="6" s="1"/>
  <c r="AC73" i="6"/>
  <c r="AB73" i="6"/>
  <c r="AD72" i="6"/>
  <c r="AC72" i="6"/>
  <c r="AH72" i="6" s="1"/>
  <c r="AI72" i="6" s="1"/>
  <c r="AB72" i="6"/>
  <c r="AD71" i="6"/>
  <c r="AC71" i="6"/>
  <c r="AH71" i="6" s="1"/>
  <c r="AI71" i="6" s="1"/>
  <c r="AB71" i="6"/>
  <c r="AD70" i="6"/>
  <c r="AC70" i="6"/>
  <c r="AB70" i="6"/>
  <c r="AD69" i="6"/>
  <c r="AC69" i="6"/>
  <c r="AH69" i="6" s="1"/>
  <c r="AI69" i="6" s="1"/>
  <c r="AB69" i="6"/>
  <c r="AD68" i="6"/>
  <c r="AC68" i="6"/>
  <c r="AB68" i="6"/>
  <c r="AD67" i="6"/>
  <c r="AC67" i="6"/>
  <c r="AH67" i="6" s="1"/>
  <c r="AI67" i="6" s="1"/>
  <c r="AB67" i="6"/>
  <c r="AD66" i="6"/>
  <c r="AC66" i="6"/>
  <c r="AH66" i="6" s="1"/>
  <c r="AI66" i="6" s="1"/>
  <c r="AB66" i="6"/>
  <c r="AD65" i="6"/>
  <c r="AH65" i="6" s="1"/>
  <c r="AI65" i="6" s="1"/>
  <c r="AC65" i="6"/>
  <c r="AB65" i="6"/>
  <c r="AD64" i="6"/>
  <c r="AC64" i="6"/>
  <c r="AH64" i="6" s="1"/>
  <c r="AI64" i="6" s="1"/>
  <c r="AB64" i="6"/>
  <c r="AD63" i="6"/>
  <c r="AC63" i="6"/>
  <c r="AB63" i="6"/>
  <c r="AD62" i="6"/>
  <c r="AC62" i="6"/>
  <c r="AH62" i="6" s="1"/>
  <c r="AI62" i="6" s="1"/>
  <c r="AB62" i="6"/>
  <c r="AD61" i="6"/>
  <c r="AH61" i="6" s="1"/>
  <c r="AI61" i="6" s="1"/>
  <c r="AC61" i="6"/>
  <c r="AB61" i="6"/>
  <c r="AD60" i="6"/>
  <c r="AC60" i="6"/>
  <c r="AH60" i="6" s="1"/>
  <c r="AI60" i="6" s="1"/>
  <c r="AB60" i="6"/>
  <c r="AD59" i="6"/>
  <c r="AC59" i="6"/>
  <c r="AH59" i="6" s="1"/>
  <c r="AI59" i="6" s="1"/>
  <c r="AB59" i="6"/>
  <c r="AD58" i="6"/>
  <c r="AC58" i="6"/>
  <c r="AB58" i="6"/>
  <c r="AD57" i="6"/>
  <c r="AC57" i="6"/>
  <c r="AB57" i="6"/>
  <c r="AD56" i="6"/>
  <c r="AC56" i="6"/>
  <c r="AH56" i="6" s="1"/>
  <c r="AI56" i="6" s="1"/>
  <c r="AB56" i="6"/>
  <c r="AD55" i="6"/>
  <c r="AC55" i="6"/>
  <c r="AB55" i="6"/>
  <c r="AD54" i="6"/>
  <c r="AC54" i="6"/>
  <c r="AH54" i="6" s="1"/>
  <c r="AI54" i="6" s="1"/>
  <c r="AB54" i="6"/>
  <c r="AH53" i="6"/>
  <c r="AI53" i="6" s="1"/>
  <c r="AD53" i="6"/>
  <c r="AC53" i="6"/>
  <c r="AB53" i="6"/>
  <c r="AD52" i="6"/>
  <c r="AC52" i="6"/>
  <c r="AH52" i="6" s="1"/>
  <c r="AI52" i="6" s="1"/>
  <c r="AB52" i="6"/>
  <c r="AD51" i="6"/>
  <c r="AC51" i="6"/>
  <c r="AB51" i="6"/>
  <c r="AD50" i="6"/>
  <c r="AC50" i="6"/>
  <c r="AH50" i="6" s="1"/>
  <c r="AI50" i="6" s="1"/>
  <c r="AB50" i="6"/>
  <c r="AD49" i="6"/>
  <c r="AC49" i="6"/>
  <c r="AB49" i="6"/>
  <c r="AD48" i="6"/>
  <c r="AC48" i="6"/>
  <c r="AB48" i="6"/>
  <c r="AD47" i="6"/>
  <c r="AC47" i="6"/>
  <c r="AH47" i="6" s="1"/>
  <c r="AI47" i="6" s="1"/>
  <c r="AB47" i="6"/>
  <c r="AD46" i="6"/>
  <c r="AH46" i="6" s="1"/>
  <c r="AI46" i="6" s="1"/>
  <c r="AC46" i="6"/>
  <c r="AB46" i="6"/>
  <c r="AD45" i="6"/>
  <c r="AC45" i="6"/>
  <c r="AH45" i="6" s="1"/>
  <c r="AI45" i="6" s="1"/>
  <c r="AB45" i="6"/>
  <c r="AD44" i="6"/>
  <c r="AC44" i="6"/>
  <c r="AH44" i="6" s="1"/>
  <c r="AI44" i="6" s="1"/>
  <c r="AB44" i="6"/>
  <c r="AD43" i="6"/>
  <c r="AC43" i="6"/>
  <c r="AB43" i="6"/>
  <c r="AD42" i="6"/>
  <c r="AC42" i="6"/>
  <c r="AH42" i="6" s="1"/>
  <c r="AI42" i="6" s="1"/>
  <c r="AB42" i="6"/>
  <c r="AD41" i="6"/>
  <c r="AH41" i="6" s="1"/>
  <c r="AI41" i="6" s="1"/>
  <c r="AC41" i="6"/>
  <c r="AB41" i="6"/>
  <c r="AD40" i="6"/>
  <c r="AC40" i="6"/>
  <c r="AH40" i="6" s="1"/>
  <c r="AI40" i="6" s="1"/>
  <c r="AB40" i="6"/>
  <c r="AB39" i="6"/>
  <c r="AD38" i="6"/>
  <c r="AC38" i="6"/>
  <c r="AH38" i="6" s="1"/>
  <c r="AI38" i="6" s="1"/>
  <c r="AB38" i="6"/>
  <c r="AD37" i="6"/>
  <c r="AC37" i="6"/>
  <c r="AB37" i="6"/>
  <c r="AD36" i="6"/>
  <c r="AC36" i="6"/>
  <c r="AH36" i="6" s="1"/>
  <c r="AI36" i="6" s="1"/>
  <c r="AB36" i="6"/>
  <c r="AH35" i="6"/>
  <c r="AI35" i="6" s="1"/>
  <c r="AD35" i="6"/>
  <c r="AC35" i="6"/>
  <c r="AB35" i="6"/>
  <c r="AD34" i="6"/>
  <c r="AC34" i="6"/>
  <c r="AH34" i="6" s="1"/>
  <c r="AI34" i="6" s="1"/>
  <c r="AB34" i="6"/>
  <c r="AD33" i="6"/>
  <c r="AC33" i="6"/>
  <c r="AB33" i="6"/>
  <c r="AD32" i="6"/>
  <c r="AC32" i="6"/>
  <c r="AH32" i="6" s="1"/>
  <c r="AI32" i="6" s="1"/>
  <c r="AB32" i="6"/>
  <c r="AD31" i="6"/>
  <c r="AC31" i="6"/>
  <c r="AB31" i="6"/>
  <c r="AD30" i="6"/>
  <c r="AC30" i="6"/>
  <c r="AB30" i="6"/>
  <c r="AD29" i="6"/>
  <c r="AC29" i="6"/>
  <c r="AB29" i="6"/>
  <c r="AD28" i="6"/>
  <c r="AH28" i="6" s="1"/>
  <c r="AI28" i="6" s="1"/>
  <c r="AC28" i="6"/>
  <c r="AB28" i="6"/>
  <c r="AD27" i="6"/>
  <c r="AC27" i="6"/>
  <c r="AH27" i="6" s="1"/>
  <c r="AI27" i="6" s="1"/>
  <c r="AB27" i="6"/>
  <c r="AD26" i="6"/>
  <c r="AC26" i="6"/>
  <c r="AH26" i="6" s="1"/>
  <c r="AI26" i="6" s="1"/>
  <c r="AB26" i="6"/>
  <c r="AD25" i="6"/>
  <c r="AC25" i="6"/>
  <c r="AH25" i="6" s="1"/>
  <c r="AI25" i="6" s="1"/>
  <c r="AB25" i="6"/>
  <c r="AD24" i="6"/>
  <c r="AC24" i="6"/>
  <c r="AH24" i="6" s="1"/>
  <c r="AI24" i="6" s="1"/>
  <c r="AB24" i="6"/>
  <c r="AD23" i="6"/>
  <c r="AH23" i="6" s="1"/>
  <c r="AI23" i="6" s="1"/>
  <c r="AC23" i="6"/>
  <c r="AB23" i="6"/>
  <c r="AD22" i="6"/>
  <c r="AC22" i="6"/>
  <c r="AH22" i="6" s="1"/>
  <c r="AI22" i="6" s="1"/>
  <c r="AB22" i="6"/>
  <c r="AD21" i="6"/>
  <c r="AC21" i="6"/>
  <c r="AH21" i="6" s="1"/>
  <c r="AI21" i="6" s="1"/>
  <c r="AB21" i="6"/>
  <c r="AH20" i="6"/>
  <c r="AI20" i="6" s="1"/>
  <c r="AD20" i="6"/>
  <c r="AC20" i="6"/>
  <c r="AB20" i="6"/>
  <c r="AD19" i="6"/>
  <c r="AC19" i="6"/>
  <c r="AH19" i="6" s="1"/>
  <c r="AI19" i="6" s="1"/>
  <c r="AB19" i="6"/>
  <c r="AD18" i="6"/>
  <c r="AC18" i="6"/>
  <c r="AB18" i="6"/>
  <c r="AD17" i="6"/>
  <c r="AC17" i="6"/>
  <c r="AB17" i="6"/>
  <c r="AD16" i="6"/>
  <c r="AC16" i="6"/>
  <c r="AH16" i="6" s="1"/>
  <c r="AI16" i="6" s="1"/>
  <c r="AB16" i="6"/>
  <c r="AD15" i="6"/>
  <c r="AC15" i="6"/>
  <c r="AB15" i="6"/>
  <c r="AD14" i="6"/>
  <c r="AC14" i="6"/>
  <c r="AH14" i="6" s="1"/>
  <c r="AI14" i="6" s="1"/>
  <c r="AB14" i="6"/>
  <c r="AD13" i="6"/>
  <c r="AC13" i="6"/>
  <c r="AB13" i="6"/>
  <c r="AD12" i="6"/>
  <c r="AC12" i="6"/>
  <c r="AH12" i="6" s="1"/>
  <c r="AI12" i="6" s="1"/>
  <c r="AB12" i="6"/>
  <c r="AD11" i="6"/>
  <c r="AH11" i="6" s="1"/>
  <c r="AI11" i="6" s="1"/>
  <c r="AC11" i="6"/>
  <c r="AB11" i="6"/>
  <c r="AD10" i="6"/>
  <c r="AC10" i="6"/>
  <c r="AH10" i="6" s="1"/>
  <c r="AI10" i="6" s="1"/>
  <c r="AB10" i="6"/>
  <c r="AD9" i="6"/>
  <c r="AC9" i="6"/>
  <c r="AH9" i="6" s="1"/>
  <c r="AI9" i="6" s="1"/>
  <c r="AB9" i="6"/>
  <c r="AD8" i="6"/>
  <c r="AC8" i="6"/>
  <c r="AB8" i="6"/>
  <c r="AD7" i="6"/>
  <c r="AH7" i="6" s="1"/>
  <c r="AI7" i="6" s="1"/>
  <c r="AC7" i="6"/>
  <c r="AB7" i="6"/>
  <c r="AD6" i="6"/>
  <c r="AC6" i="6"/>
  <c r="AH6" i="6" s="1"/>
  <c r="AI6" i="6" s="1"/>
  <c r="AB6" i="6"/>
  <c r="AD5" i="6"/>
  <c r="AC5" i="6"/>
  <c r="AH5" i="6" s="1"/>
  <c r="AI5" i="6" s="1"/>
  <c r="AB5" i="6"/>
  <c r="AD4" i="6"/>
  <c r="AC4" i="6"/>
  <c r="AH4" i="6" s="1"/>
  <c r="AI4" i="6" s="1"/>
  <c r="AB4" i="6"/>
  <c r="AD3" i="6"/>
  <c r="AC3" i="6"/>
  <c r="AH3" i="6" s="1"/>
  <c r="AI3" i="6" s="1"/>
  <c r="AB3" i="6"/>
  <c r="AD2" i="6"/>
  <c r="AC2" i="6"/>
  <c r="AH2" i="6" s="1"/>
  <c r="AI2" i="6" s="1"/>
  <c r="AB2" i="6"/>
  <c r="AJ24" i="6" a="1"/>
  <c r="AJ64" i="6" a="1"/>
  <c r="AJ25" i="6" a="1"/>
  <c r="AJ42" i="6" a="1"/>
  <c r="AJ36" i="6" a="1"/>
  <c r="AJ23" i="6" a="1"/>
  <c r="AJ21" i="6" a="1"/>
  <c r="AJ20" i="6" a="1"/>
  <c r="AJ46" i="6" a="1"/>
  <c r="AJ53" i="6" a="1"/>
  <c r="AJ41" i="6" a="1"/>
  <c r="AJ14" i="6" a="1"/>
  <c r="AJ66" i="6" a="1"/>
  <c r="AJ11" i="6" a="1"/>
  <c r="AJ40" i="6" a="1"/>
  <c r="AJ6" i="6" a="1"/>
  <c r="AJ7" i="6" a="1"/>
  <c r="AJ60" i="6" a="1"/>
  <c r="AJ32" i="6" a="1"/>
  <c r="AJ62" i="6" a="1"/>
  <c r="AJ19" i="6" a="1"/>
  <c r="AJ4" i="6" a="1"/>
  <c r="AJ65" i="6" a="1"/>
  <c r="AJ3" i="6" a="1"/>
  <c r="AJ10" i="6" a="1"/>
  <c r="AJ28" i="6" a="1"/>
  <c r="AJ5" i="6" a="1"/>
  <c r="AJ38" i="6" a="1"/>
  <c r="AJ16" i="6" a="1"/>
  <c r="AJ61" i="6" a="1"/>
  <c r="AJ59" i="6" a="1"/>
  <c r="AJ54" i="6" a="1"/>
  <c r="AJ22" i="6" a="1"/>
  <c r="AJ26" i="6" a="1"/>
  <c r="AJ12" i="6" a="1"/>
  <c r="AJ52" i="6" a="1"/>
  <c r="AJ47" i="6" a="1"/>
  <c r="AJ44" i="6" a="1"/>
  <c r="AJ67" i="6" a="1"/>
  <c r="AJ34" i="6" a="1"/>
  <c r="AJ72" i="6" a="1"/>
  <c r="AJ69" i="6" a="1"/>
  <c r="AJ2" i="6" a="1"/>
  <c r="AJ27" i="6" a="1"/>
  <c r="AJ45" i="6" a="1"/>
  <c r="AJ35" i="6" a="1"/>
  <c r="AJ50" i="6" a="1"/>
  <c r="AJ71" i="6" a="1"/>
  <c r="AJ56" i="6" a="1"/>
  <c r="AJ73" i="6" a="1"/>
  <c r="AJ9" i="6" a="1"/>
  <c r="AH10" i="7" l="1"/>
  <c r="AI10" i="7" s="1"/>
  <c r="AH27" i="7"/>
  <c r="AI27" i="7" s="1"/>
  <c r="AH37" i="7"/>
  <c r="AI37" i="7" s="1"/>
  <c r="AH40" i="7"/>
  <c r="AI40" i="7" s="1"/>
  <c r="AH69" i="7"/>
  <c r="AI69" i="7" s="1"/>
  <c r="AH15" i="7"/>
  <c r="AI15" i="7" s="1"/>
  <c r="AH25" i="7"/>
  <c r="AI25" i="7" s="1"/>
  <c r="AH30" i="7"/>
  <c r="AI30" i="7" s="1"/>
  <c r="AH55" i="7"/>
  <c r="AI55" i="7" s="1"/>
  <c r="AH57" i="7"/>
  <c r="AI57" i="7" s="1"/>
  <c r="AH67" i="7"/>
  <c r="AI67" i="7" s="1"/>
  <c r="AH72" i="7"/>
  <c r="AI72" i="7" s="1"/>
  <c r="AH7" i="7"/>
  <c r="AI7" i="7" s="1"/>
  <c r="AH24" i="7"/>
  <c r="AI24" i="7" s="1"/>
  <c r="AH6" i="7"/>
  <c r="AI6" i="7" s="1"/>
  <c r="AH13" i="7"/>
  <c r="AI13" i="7" s="1"/>
  <c r="AH18" i="7"/>
  <c r="AI18" i="7" s="1"/>
  <c r="AH14" i="7"/>
  <c r="AI14" i="7" s="1"/>
  <c r="AH54" i="7"/>
  <c r="AI54" i="7" s="1"/>
  <c r="AH71" i="7"/>
  <c r="AI71" i="7" s="1"/>
  <c r="AH9" i="7"/>
  <c r="AI9" i="7" s="1"/>
  <c r="AH11" i="7"/>
  <c r="AI11" i="7" s="1"/>
  <c r="AH21" i="7"/>
  <c r="AI21" i="7" s="1"/>
  <c r="AH38" i="7"/>
  <c r="AI38" i="7" s="1"/>
  <c r="AH48" i="7"/>
  <c r="AI48" i="7" s="1"/>
  <c r="AH60" i="7"/>
  <c r="AI60" i="7" s="1"/>
  <c r="AH2" i="7"/>
  <c r="AI2" i="7" s="1"/>
  <c r="AH41" i="7"/>
  <c r="AI41" i="7" s="1"/>
  <c r="AH51" i="7"/>
  <c r="AI51" i="7" s="1"/>
  <c r="AH68" i="7"/>
  <c r="AI68" i="7" s="1"/>
  <c r="AH5" i="7"/>
  <c r="AI5" i="7" s="1"/>
  <c r="AH22" i="7"/>
  <c r="AI22" i="7" s="1"/>
  <c r="AH29" i="7"/>
  <c r="AI29" i="7" s="1"/>
  <c r="AH34" i="7"/>
  <c r="AI34" i="7" s="1"/>
  <c r="AH44" i="7"/>
  <c r="AI44" i="7" s="1"/>
  <c r="AH73" i="7"/>
  <c r="AI73" i="7" s="1"/>
  <c r="AH12" i="7"/>
  <c r="AI12" i="7" s="1"/>
  <c r="AH28" i="7"/>
  <c r="AI28" i="7" s="1"/>
  <c r="AH42" i="7"/>
  <c r="AI42" i="7" s="1"/>
  <c r="AH58" i="7"/>
  <c r="AI58" i="7" s="1"/>
  <c r="AH3" i="7"/>
  <c r="AI3" i="7" s="1"/>
  <c r="AH17" i="7"/>
  <c r="AI17" i="7" s="1"/>
  <c r="AH19" i="7"/>
  <c r="AI19" i="7" s="1"/>
  <c r="AH33" i="7"/>
  <c r="AI33" i="7" s="1"/>
  <c r="AH35" i="7"/>
  <c r="AI35" i="7" s="1"/>
  <c r="AH47" i="7"/>
  <c r="AI47" i="7" s="1"/>
  <c r="AH49" i="7"/>
  <c r="AI49" i="7" s="1"/>
  <c r="AH63" i="7"/>
  <c r="AI63" i="7" s="1"/>
  <c r="AH65" i="7"/>
  <c r="AI65" i="7" s="1"/>
  <c r="AH31" i="7"/>
  <c r="AI31" i="7" s="1"/>
  <c r="AH43" i="7"/>
  <c r="AI43" i="7" s="1"/>
  <c r="AH45" i="7"/>
  <c r="AI45" i="7" s="1"/>
  <c r="AH59" i="7"/>
  <c r="AI59" i="7" s="1"/>
  <c r="AH61" i="7"/>
  <c r="AI61" i="7" s="1"/>
  <c r="AH4" i="7"/>
  <c r="AI4" i="7" s="1"/>
  <c r="AH20" i="7"/>
  <c r="AI20" i="7" s="1"/>
  <c r="AH36" i="7"/>
  <c r="AI36" i="7" s="1"/>
  <c r="AH50" i="7"/>
  <c r="AI50" i="7" s="1"/>
  <c r="AH66" i="7"/>
  <c r="AI66" i="7" s="1"/>
  <c r="AH16" i="7"/>
  <c r="AI16" i="7" s="1"/>
  <c r="AH32" i="7"/>
  <c r="AI32" i="7" s="1"/>
  <c r="AH46" i="7"/>
  <c r="AI46" i="7" s="1"/>
  <c r="AH62" i="7"/>
  <c r="AI62" i="7" s="1"/>
  <c r="AH49" i="6"/>
  <c r="AH17" i="6"/>
  <c r="AH29" i="6"/>
  <c r="AH31" i="6"/>
  <c r="AH57" i="6"/>
  <c r="AH37" i="6"/>
  <c r="AH43" i="6"/>
  <c r="AH55" i="6"/>
  <c r="AH70" i="6"/>
  <c r="AH8" i="6"/>
  <c r="AH15" i="6"/>
  <c r="AH18" i="6"/>
  <c r="AH30" i="6"/>
  <c r="AH48" i="6"/>
  <c r="AH58" i="6"/>
  <c r="AH68" i="6"/>
  <c r="AH13" i="6"/>
  <c r="AH33" i="6"/>
  <c r="AH51" i="6"/>
  <c r="AH63" i="6"/>
  <c r="AJ21" i="6"/>
  <c r="AJ4" i="6"/>
  <c r="AJ12" i="6"/>
  <c r="AJ20" i="6"/>
  <c r="AJ28" i="6"/>
  <c r="AJ36" i="6"/>
  <c r="AJ46" i="6"/>
  <c r="AJ54" i="6"/>
  <c r="AJ62" i="6"/>
  <c r="AJ5" i="6"/>
  <c r="AJ47" i="6"/>
  <c r="AJ71" i="6"/>
  <c r="AJ3" i="6"/>
  <c r="AJ11" i="6"/>
  <c r="AJ19" i="6"/>
  <c r="AJ27" i="6"/>
  <c r="AJ35" i="6"/>
  <c r="AJ45" i="6"/>
  <c r="AJ53" i="6"/>
  <c r="AJ61" i="6"/>
  <c r="AJ69" i="6"/>
  <c r="AJ2" i="6"/>
  <c r="AJ10" i="6"/>
  <c r="AJ26" i="6"/>
  <c r="AJ34" i="6"/>
  <c r="AJ44" i="6"/>
  <c r="AJ52" i="6"/>
  <c r="AJ60" i="6"/>
  <c r="AJ9" i="6"/>
  <c r="AJ25" i="6"/>
  <c r="AJ59" i="6"/>
  <c r="AJ67" i="6"/>
  <c r="AJ16" i="6"/>
  <c r="AJ24" i="6"/>
  <c r="AJ32" i="6"/>
  <c r="AJ42" i="6"/>
  <c r="AJ50" i="6"/>
  <c r="AJ66" i="6"/>
  <c r="AJ7" i="6"/>
  <c r="AJ23" i="6"/>
  <c r="AJ41" i="6"/>
  <c r="AJ65" i="6"/>
  <c r="AJ73" i="6"/>
  <c r="AJ6" i="6"/>
  <c r="AJ14" i="6"/>
  <c r="AJ22" i="6"/>
  <c r="AJ38" i="6"/>
  <c r="AJ40" i="6"/>
  <c r="AJ56" i="6"/>
  <c r="AJ64" i="6"/>
  <c r="AJ72" i="6"/>
  <c r="AJ63" i="6" a="1"/>
  <c r="AJ55" i="6" a="1"/>
  <c r="AJ58" i="6" a="1"/>
  <c r="AJ49" i="6" a="1"/>
  <c r="AJ29" i="6" a="1"/>
  <c r="AJ8" i="6" a="1"/>
  <c r="AJ57" i="6" a="1"/>
  <c r="AJ15" i="6" a="1"/>
  <c r="AJ48" i="6" a="1"/>
  <c r="AJ51" i="6" a="1"/>
  <c r="AJ68" i="6" a="1"/>
  <c r="AJ30" i="6" a="1"/>
  <c r="AJ13" i="6" a="1"/>
  <c r="AJ33" i="6" a="1"/>
  <c r="AJ70" i="6" a="1"/>
  <c r="AJ31" i="6" a="1"/>
  <c r="AJ37" i="6" a="1"/>
  <c r="AJ18" i="6" a="1"/>
  <c r="AJ17" i="6" a="1"/>
  <c r="AJ43" i="6" a="1"/>
  <c r="AJ68" i="6" l="1"/>
  <c r="AJ31" i="6"/>
  <c r="AJ58" i="6"/>
  <c r="AJ29" i="6"/>
  <c r="AJ48" i="6"/>
  <c r="AJ51" i="6"/>
  <c r="AJ30" i="6"/>
  <c r="AJ55" i="6"/>
  <c r="AJ70" i="6"/>
  <c r="AJ33" i="6"/>
  <c r="AJ18" i="6"/>
  <c r="AJ43" i="6"/>
  <c r="AJ63" i="6"/>
  <c r="AJ13" i="6"/>
  <c r="AJ15" i="6"/>
  <c r="AJ37" i="6"/>
  <c r="AJ49" i="6"/>
  <c r="AJ17" i="6"/>
  <c r="AJ8" i="6"/>
  <c r="AJ57" i="6"/>
  <c r="AI68" i="6"/>
  <c r="AI31" i="6"/>
  <c r="AI58" i="6"/>
  <c r="AI29" i="6"/>
  <c r="AI48" i="6"/>
  <c r="AI51" i="6"/>
  <c r="AI30" i="6"/>
  <c r="AI55" i="6"/>
  <c r="AI70" i="6"/>
  <c r="AI33" i="6"/>
  <c r="AI18" i="6"/>
  <c r="AI43" i="6"/>
  <c r="AI63" i="6"/>
  <c r="AI13" i="6"/>
  <c r="AI15" i="6"/>
  <c r="AI37" i="6"/>
  <c r="AI49" i="6"/>
  <c r="AI17" i="6"/>
  <c r="AI8" i="6"/>
  <c r="AI57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4B82E09-BCEC-4C94-8DCB-33EF82929E27}" keepAlive="1" name="Abfrage - ALL_PROD_RISK" description="Verbindung mit der Abfrage 'ALL_PROD_RISK' in der Arbeitsmappe." type="5" refreshedVersion="7" background="1" saveData="1">
    <dbPr connection="Provider=Microsoft.Mashup.OleDb.1;Data Source=$Workbook$;Location=ALL_PROD_RISK;Extended Properties=&quot;&quot;" command="SELECT * FROM [ALL_PROD_RISK]"/>
  </connection>
  <connection id="2" xr16:uid="{FA4FC251-BA8F-493F-93F1-1C20F58894AC}" keepAlive="1" name="Abfrage - ALL_PROD_RISK (2)" description="Verbindung mit der Abfrage 'ALL_PROD_RISK (2)' in der Arbeitsmappe." type="5" refreshedVersion="7" background="1" saveData="1">
    <dbPr connection="Provider=Microsoft.Mashup.OleDb.1;Data Source=$Workbook$;Location=&quot;ALL_PROD_RISK (2)&quot;;Extended Properties=&quot;&quot;" command="SELECT * FROM [ALL_PROD_RISK (2)]"/>
  </connection>
  <connection id="3" xr16:uid="{32443132-711F-4C13-AA60-B4D1C1A08EC2}" keepAlive="1" name="Abfrage - ALL_PROD_RISK (3)" description="Verbindung mit der Abfrage 'ALL_PROD_RISK (3)' in der Arbeitsmappe." type="5" refreshedVersion="7" background="1" saveData="1">
    <dbPr connection="Provider=Microsoft.Mashup.OleDb.1;Data Source=$Workbook$;Location=&quot;ALL_PROD_RISK (3)&quot;;Extended Properties=&quot;&quot;" command="SELECT * FROM [ALL_PROD_RISK (3)]"/>
  </connection>
  <connection id="4" xr16:uid="{634E485E-C28D-4D5E-99D3-1CA985245BA0}" keepAlive="1" name="Abfrage - EUSW" description="Verbindung mit der Abfrage 'EUSW' in der Arbeitsmappe." type="5" refreshedVersion="8" background="1" saveData="1">
    <dbPr connection="Provider=Microsoft.Mashup.OleDb.1;Data Source=$Workbook$;Location=EUSW;Extended Properties=&quot;&quot;" command="SELECT * FROM [EUSW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<sst xmlns="http://schemas.openxmlformats.org/spreadsheetml/2006/main" count="4084" uniqueCount="408">
  <si>
    <t>INCLUDE</t>
  </si>
  <si>
    <t>TRADE_ID</t>
  </si>
  <si>
    <t>PROD_ID</t>
  </si>
  <si>
    <t>PRICE_BUY</t>
  </si>
  <si>
    <t>TRADE_DATE</t>
  </si>
  <si>
    <t>CATEGORY</t>
  </si>
  <si>
    <t>NOTIONAL</t>
  </si>
  <si>
    <t>2. lgfr. Anlagevermögen</t>
  </si>
  <si>
    <t>NAME</t>
  </si>
  <si>
    <t>DESCRIPTION</t>
  </si>
  <si>
    <t>ISSUER</t>
  </si>
  <si>
    <t>CURRENCY</t>
  </si>
  <si>
    <t>START_DATE</t>
  </si>
  <si>
    <t>MATURITY</t>
  </si>
  <si>
    <t>COUPON</t>
  </si>
  <si>
    <t>Rank</t>
  </si>
  <si>
    <t>TENOR</t>
  </si>
  <si>
    <t>TICKER</t>
  </si>
  <si>
    <t>CouponType</t>
  </si>
  <si>
    <t>GEARING</t>
  </si>
  <si>
    <t>INDEX</t>
  </si>
  <si>
    <t>FLOOR</t>
  </si>
  <si>
    <t>CAP</t>
  </si>
  <si>
    <t>SPREADS</t>
  </si>
  <si>
    <t>RATING_PROD</t>
  </si>
  <si>
    <t>TermType</t>
  </si>
  <si>
    <t>INCLUDE_ISSUER</t>
  </si>
  <si>
    <t>ESG_RATING</t>
  </si>
  <si>
    <t>TermSheets</t>
  </si>
  <si>
    <t>RATING</t>
  </si>
  <si>
    <t>TtM</t>
  </si>
  <si>
    <t>C_SPREAD</t>
  </si>
  <si>
    <t/>
  </si>
  <si>
    <t>EUR</t>
  </si>
  <si>
    <t>FIX</t>
  </si>
  <si>
    <t>SINGLE</t>
  </si>
  <si>
    <t>GENERAL</t>
  </si>
  <si>
    <t>GEN</t>
  </si>
  <si>
    <t>yes</t>
  </si>
  <si>
    <t>HYPO VLBG</t>
  </si>
  <si>
    <t>HVLBG</t>
  </si>
  <si>
    <t>LGT</t>
  </si>
  <si>
    <t>RLB STMK</t>
  </si>
  <si>
    <t>RLBSTMK</t>
  </si>
  <si>
    <t>Unicredit Bank Austria</t>
  </si>
  <si>
    <t>UNICREDIT</t>
  </si>
  <si>
    <t>AT000B049564</t>
  </si>
  <si>
    <t>Stufen-Pfandbr.R135/15-24</t>
  </si>
  <si>
    <t>Zinssatz 0,375 % bis 1.2.2020, 0,5% bis 02/2023, 1% bis 02/2024</t>
  </si>
  <si>
    <t>Erste Group Bank AG</t>
  </si>
  <si>
    <t>ERSTBK</t>
  </si>
  <si>
    <t>AT0000A2SS92</t>
  </si>
  <si>
    <t>Universitäten Mix 1 T (Fonds Thesaurierend)</t>
  </si>
  <si>
    <t>RB International</t>
  </si>
  <si>
    <t>RBIAV</t>
  </si>
  <si>
    <t>XS2106056653</t>
  </si>
  <si>
    <t>RBI 0,25% Schuldv. 2020-2025</t>
  </si>
  <si>
    <t>XS2055627538</t>
  </si>
  <si>
    <t>Schuldverschr. 2019-2026/S194</t>
  </si>
  <si>
    <t>XS1821420699</t>
  </si>
  <si>
    <t>Obligation 0,625% Oberösterreichische Landesbank 2018-16.05.2025</t>
  </si>
  <si>
    <t>var. 3M-Euribor; Cap: 2,30%; Floor: 0,85%</t>
  </si>
  <si>
    <t>Oberöst. Landesbank AG</t>
  </si>
  <si>
    <t>OOELB</t>
  </si>
  <si>
    <t>RLB Oberösterreich</t>
  </si>
  <si>
    <t>RLBOOE</t>
  </si>
  <si>
    <t>AT0000A2C5E1</t>
  </si>
  <si>
    <t>Festv.Schuldv. 19-24/PP</t>
  </si>
  <si>
    <t>Liechtensteinische Landesbank</t>
  </si>
  <si>
    <t>LLB</t>
  </si>
  <si>
    <t>Credit Suisse</t>
  </si>
  <si>
    <t>CS</t>
  </si>
  <si>
    <t>Hypo Tirol AG</t>
  </si>
  <si>
    <t>HTIROL</t>
  </si>
  <si>
    <t>AT0000A2UNT7</t>
  </si>
  <si>
    <t>ERSTE Fixzinsanl.2021-2026</t>
  </si>
  <si>
    <t>AT000B122080</t>
  </si>
  <si>
    <t>Schuldverschreibung 21-26</t>
  </si>
  <si>
    <t>Volksbank Wien</t>
  </si>
  <si>
    <t>VB</t>
  </si>
  <si>
    <t>DE000LB2CRG6</t>
  </si>
  <si>
    <t>MTN Serie 816 v.20(27)</t>
  </si>
  <si>
    <t>LB Baden-Wuerttemberg</t>
  </si>
  <si>
    <t>LBBW</t>
  </si>
  <si>
    <t>DE000LB2V7C3</t>
  </si>
  <si>
    <t>MTN Serie 825 v.21(28)</t>
  </si>
  <si>
    <t>DE000CZ45V82</t>
  </si>
  <si>
    <t>0,375% Commerzbank AG EMTN Reg-S</t>
  </si>
  <si>
    <t>Commerzbank AG</t>
  </si>
  <si>
    <t>CMZB</t>
  </si>
  <si>
    <t>DE000DL19U23</t>
  </si>
  <si>
    <t>1,625% Deutsche Bank AG EMTN</t>
  </si>
  <si>
    <t>Deutsche Bank AG</t>
  </si>
  <si>
    <t>DB</t>
  </si>
  <si>
    <t>no</t>
  </si>
  <si>
    <t>XS2233120554</t>
  </si>
  <si>
    <t>Landwirtschaftliche Rentenbank</t>
  </si>
  <si>
    <t>Rentenbank</t>
  </si>
  <si>
    <t>RENTB</t>
  </si>
  <si>
    <t>DE000A2TSDY0</t>
  </si>
  <si>
    <t>DZ HYP AG Pfandbrief 0,01%</t>
  </si>
  <si>
    <t xml:space="preserve">DZ HYP AG  </t>
  </si>
  <si>
    <t>DZ</t>
  </si>
  <si>
    <t>DE000BLB6JJ0</t>
  </si>
  <si>
    <t>Bayerische Landesbank Med.Term.21(28)</t>
  </si>
  <si>
    <t>Bayerische Landesbank</t>
  </si>
  <si>
    <t>BYLAN</t>
  </si>
  <si>
    <t>XS1180130939</t>
  </si>
  <si>
    <t>EO Medium Term Notes 2015(27)</t>
  </si>
  <si>
    <t>Rabobank</t>
  </si>
  <si>
    <t>RABOBK</t>
  </si>
  <si>
    <t>XS1218821756</t>
  </si>
  <si>
    <t>EO Medium Term Notes 2015(25)</t>
  </si>
  <si>
    <t>ABN AMRO Bank N.V</t>
  </si>
  <si>
    <t>ABNANV</t>
  </si>
  <si>
    <t>AT0000A2XG57</t>
  </si>
  <si>
    <t>Fixed Rate Green Notes 22-25</t>
  </si>
  <si>
    <t>HYPO NOE</t>
  </si>
  <si>
    <t>HNOE</t>
  </si>
  <si>
    <t>AT0000A2XMH8</t>
  </si>
  <si>
    <t>Green Bond 2022-2027</t>
  </si>
  <si>
    <t>XS1956955980</t>
  </si>
  <si>
    <t>0,625% EMTN Rabobank 19-24</t>
  </si>
  <si>
    <t>XS1612940558</t>
  </si>
  <si>
    <t>0,25%Nts KfW 17 Guarant.Reg S</t>
  </si>
  <si>
    <t>KfW</t>
  </si>
  <si>
    <t>KFW</t>
  </si>
  <si>
    <t>XS1978552237</t>
  </si>
  <si>
    <t>0,1% EO-Medium-Term Notes 2019(26)</t>
  </si>
  <si>
    <t>European Investment Bank</t>
  </si>
  <si>
    <t>EIB</t>
  </si>
  <si>
    <t>AT0000A306U1</t>
  </si>
  <si>
    <t>Fixzinsanleihe 2022-2025</t>
  </si>
  <si>
    <t>BNG Bank N.V.</t>
  </si>
  <si>
    <t>BNG</t>
  </si>
  <si>
    <t>XS1632891138</t>
  </si>
  <si>
    <t>0,625% Nts BNG 2017-290627 Series 1298</t>
  </si>
  <si>
    <t>XS1564325550</t>
  </si>
  <si>
    <t>0,25% EMTN Rentenbank 2017-15.07.24 Guarant Series</t>
  </si>
  <si>
    <t>AT0000A30368</t>
  </si>
  <si>
    <t>Hypo Vbg Anleihe 2022-2026</t>
  </si>
  <si>
    <t>BKS</t>
  </si>
  <si>
    <t>Kommunalkredit</t>
  </si>
  <si>
    <t>KA</t>
  </si>
  <si>
    <t xml:space="preserve">Kapitalkonto </t>
  </si>
  <si>
    <t>BBB</t>
  </si>
  <si>
    <t>A+</t>
  </si>
  <si>
    <t>A-</t>
  </si>
  <si>
    <t>BBB+</t>
  </si>
  <si>
    <t>AA</t>
  </si>
  <si>
    <t>A</t>
  </si>
  <si>
    <t>AA-</t>
  </si>
  <si>
    <t>AAA</t>
  </si>
  <si>
    <t>BBB-</t>
  </si>
  <si>
    <t>RATING_1</t>
  </si>
  <si>
    <t>INDUSTRY</t>
  </si>
  <si>
    <t>COUNTRY</t>
  </si>
  <si>
    <t>in ISSUER_Database</t>
  </si>
  <si>
    <t>SECTOR</t>
  </si>
  <si>
    <t>Bank</t>
  </si>
  <si>
    <t>AT</t>
  </si>
  <si>
    <t>DE</t>
  </si>
  <si>
    <t>NL</t>
  </si>
  <si>
    <t>LU</t>
  </si>
  <si>
    <t>TEST</t>
  </si>
  <si>
    <t>instrument</t>
  </si>
  <si>
    <t>YEAR</t>
  </si>
  <si>
    <t>YEAR_1</t>
  </si>
  <si>
    <t>swap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</si>
  <si>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</si>
  <si>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</si>
  <si>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</si>
  <si>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</si>
  <si>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</si>
  <si>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</si>
  <si>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</si>
  <si>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</si>
  <si>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</si>
  <si>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</si>
  <si>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11Y</t>
  </si>
  <si>
    <t>12Y</t>
  </si>
  <si>
    <t>13Y</t>
  </si>
  <si>
    <t>14Y</t>
  </si>
  <si>
    <t>15Y</t>
  </si>
  <si>
    <t>20Y</t>
  </si>
  <si>
    <t>25Y</t>
  </si>
  <si>
    <t>30Y</t>
  </si>
  <si>
    <t>RATES</t>
  </si>
  <si>
    <t>AT0000A1Z6A1</t>
  </si>
  <si>
    <t>MiniMax Anleihe 2017-2024/PP</t>
  </si>
  <si>
    <t>Jahr 1: 0,75% p.a. Jahr 2-7: 3 Monats Euribor, Minimum 0,5%, Maximum 2,0% p.a.</t>
  </si>
  <si>
    <t>FLOATER</t>
  </si>
  <si>
    <t>3m</t>
  </si>
  <si>
    <t>AT0000A23G99</t>
  </si>
  <si>
    <t>MiniMax-Floater 18-25/PP</t>
  </si>
  <si>
    <t>Jahr 1: 0,75% p.a. Jahr 2-7: 3 Monats Euribor, Minimum 0,75%, Maximum 3,0% p.a.</t>
  </si>
  <si>
    <t>AT000B093299</t>
  </si>
  <si>
    <t>Min-Max-Floater 18-25/2</t>
  </si>
  <si>
    <t>vierteljährl. Zinssatz-Neufestlegung Berechnungsbasis: 3M-Euribor; Cap: 2,30%; Floor: 0,85%</t>
  </si>
  <si>
    <t>AT0000A25AX4</t>
  </si>
  <si>
    <t>Var. Schuldverschr. 18-25/PP</t>
  </si>
  <si>
    <t>Kuponstruktur: 6 M Euribor+ 50BP, act/360, Floor 0,75%-Cap 3,25%</t>
  </si>
  <si>
    <t>6m</t>
  </si>
  <si>
    <t>AT000B093174</t>
  </si>
  <si>
    <t>RLB Min-Max-Floater 2017-2024/8/PP</t>
  </si>
  <si>
    <t>3 mE Flat 0,6% Cap 3,10%</t>
  </si>
  <si>
    <t>AT0000A2CA82</t>
  </si>
  <si>
    <t>Hypo Tirol Anleihe 2019-2025/PP</t>
  </si>
  <si>
    <t>Arranger: CMTA GmbH Funding: 3M Euribor + 70 BP</t>
  </si>
  <si>
    <t>DE000DL19VD6</t>
  </si>
  <si>
    <t xml:space="preserve">FLR-MTN v.20(25/26), </t>
  </si>
  <si>
    <t>fix bis 2025 mit 1,375%; bis 2026 3m Euribor + 1,67%; Call 2025</t>
  </si>
  <si>
    <t>TERM</t>
  </si>
  <si>
    <t>AT0000A2YBF3</t>
  </si>
  <si>
    <t>Minimax-Anleihe 2022-2027</t>
  </si>
  <si>
    <t>AT000B093893</t>
  </si>
  <si>
    <t>FLOAT</t>
  </si>
  <si>
    <t>TEST_FL_001</t>
  </si>
  <si>
    <t>5y</t>
  </si>
  <si>
    <t>12m</t>
  </si>
  <si>
    <t>TEST_FL_002</t>
  </si>
  <si>
    <t>10y</t>
  </si>
  <si>
    <t>RANK_S</t>
  </si>
  <si>
    <t>Systemrelevant</t>
  </si>
  <si>
    <t>BANK</t>
  </si>
  <si>
    <t>HYPO</t>
  </si>
  <si>
    <t>C_INDEX</t>
  </si>
  <si>
    <t>BOND_RATING_M</t>
  </si>
  <si>
    <t>5. Termineinlagen</t>
  </si>
  <si>
    <t>TEST_FIX_001</t>
  </si>
  <si>
    <t>TEST_FIX_002</t>
  </si>
  <si>
    <t>PSK Studiengebühren</t>
  </si>
  <si>
    <t>1_Kontokorrentkonten</t>
  </si>
  <si>
    <t>Termsheets\AT0000A2UNT7.pdf</t>
  </si>
  <si>
    <t>Capitalbank Bankgiro</t>
  </si>
  <si>
    <t>Schöllerbank 42737698005</t>
  </si>
  <si>
    <t>VB 13981130001</t>
  </si>
  <si>
    <t>Hypo Vlbg 21373232 014</t>
  </si>
  <si>
    <t>2_lgfr_Anlagevermögen</t>
  </si>
  <si>
    <t>AT0000A1P0M1</t>
  </si>
  <si>
    <t>Stufenzins-Anleihe 2016 - 2023</t>
  </si>
  <si>
    <t>1-2.Jahr:0,5%,3.-4.J.:0,75%,5.J.:1,00%, 6.J.:1,25%, 7.J.:1,5%</t>
  </si>
  <si>
    <t>AT0000A256J1</t>
  </si>
  <si>
    <t>UBS 804.552.0</t>
  </si>
  <si>
    <t>Bankgiro RLB 49.460</t>
  </si>
  <si>
    <t>RLB 1-00.049.460 VIVEUM</t>
  </si>
  <si>
    <t>RLB Spendenkonto 214.460</t>
  </si>
  <si>
    <t>RLB 5-00.049.460 Studienbeiträge</t>
  </si>
  <si>
    <t>RLB 10.00049.460 Bankomatabrechnung</t>
  </si>
  <si>
    <t>Bankgiro BA</t>
  </si>
  <si>
    <t>Bankgiro STMK 709055</t>
  </si>
  <si>
    <t>Termsheets\AT000B036223.pdf</t>
  </si>
  <si>
    <t>STMK Sparkasse Sparkonto 00030-128649</t>
  </si>
  <si>
    <t>AT000B036223</t>
  </si>
  <si>
    <t>Bankschuldverschreibung 2018-2023/4 sen.unsec.</t>
  </si>
  <si>
    <t>AT00008112995</t>
  </si>
  <si>
    <t>ESPA Cash Euro Mündel FD (Fonds thesaurierend)</t>
  </si>
  <si>
    <t>XS1917591411</t>
  </si>
  <si>
    <t>Festz.Anl.2018-23/S166T1</t>
  </si>
  <si>
    <t>AT647652056462711001</t>
  </si>
  <si>
    <t>0947-1437039-62</t>
  </si>
  <si>
    <t>Fixzins! Arranger: CMTA GmbH Funding: 3M Euribor + 70 BP</t>
  </si>
  <si>
    <t>senior preferred</t>
  </si>
  <si>
    <t>DE000A11QTD2</t>
  </si>
  <si>
    <t>0,625% Kred.Wiederaufbau 2015-15.1.25</t>
  </si>
  <si>
    <t>AT0000A32T77</t>
  </si>
  <si>
    <t>3,75% Hypo VLBG Anleihe 2023-2025</t>
  </si>
  <si>
    <t>AT000B093943</t>
  </si>
  <si>
    <t>RLB STMK OBL 23-26/PP</t>
  </si>
  <si>
    <t>AT000B036751</t>
  </si>
  <si>
    <t>3,5% Frühlingsanleihe II 23-27</t>
  </si>
  <si>
    <t>AT000B122163</t>
  </si>
  <si>
    <t>VB Wien Pfandbrief 23-25</t>
  </si>
  <si>
    <t>Hypo Vbg Kapitalsparbuch [21373232324]</t>
  </si>
  <si>
    <t>5_Termineinlagen</t>
  </si>
  <si>
    <t>Hypo Vbg Festgeld</t>
  </si>
  <si>
    <t>Festgeld 42737698013</t>
  </si>
  <si>
    <t>Festgeld 10039349062</t>
  </si>
  <si>
    <t>Termineinlage 1200049460</t>
  </si>
  <si>
    <t>Festgeld - Termineinlage</t>
  </si>
  <si>
    <t>Termineinlage 44924108</t>
  </si>
  <si>
    <t>Festgeld</t>
  </si>
  <si>
    <t>Festgeld AT.848248</t>
  </si>
  <si>
    <t>Callgeld</t>
  </si>
  <si>
    <t>Deposit Facility Rate der EZB abzgl. 1,5% (seit 01.05.2023)</t>
  </si>
  <si>
    <t>NN BANK NV NETHERLANDS</t>
  </si>
  <si>
    <t>NNGRNV</t>
  </si>
  <si>
    <t>BERLIN HYP AG</t>
  </si>
  <si>
    <t>BERHYPAG</t>
  </si>
  <si>
    <t>TEST4</t>
  </si>
  <si>
    <t>Name</t>
  </si>
  <si>
    <t>EUR 1Y IRS</t>
  </si>
  <si>
    <t>EUR 2Y IRS</t>
  </si>
  <si>
    <t>EUR 3Y IRS</t>
  </si>
  <si>
    <t>EUR 4Y IRS</t>
  </si>
  <si>
    <t>EUR 5Y IRS</t>
  </si>
  <si>
    <t>EUR 6Y IRS</t>
  </si>
  <si>
    <t>EUR 7Y IRS</t>
  </si>
  <si>
    <t>EUR 8Y IRS</t>
  </si>
  <si>
    <t>EUR 9Y IRS</t>
  </si>
  <si>
    <t>EUR 10Y IRS</t>
  </si>
  <si>
    <t>EUR 11Y IRS</t>
  </si>
  <si>
    <t>EUR 12Y IRS</t>
  </si>
  <si>
    <t>EUR 13Y IRS</t>
  </si>
  <si>
    <t>EUR 14Y IRS</t>
  </si>
  <si>
    <t>EUR 15Y IRS</t>
  </si>
  <si>
    <t>EUR 20Y IRS</t>
  </si>
  <si>
    <t>EUR 25Y IRS</t>
  </si>
  <si>
    <t>EUR 30Y IRS</t>
  </si>
  <si>
    <t>RATES_%</t>
  </si>
  <si>
    <t>CS_Szenario</t>
  </si>
  <si>
    <t>RANK</t>
  </si>
  <si>
    <t>STEPS</t>
  </si>
  <si>
    <t>senior unsecured</t>
  </si>
  <si>
    <t>senior secured</t>
  </si>
  <si>
    <t>senior subordinated</t>
  </si>
  <si>
    <t>junior subordinated</t>
  </si>
  <si>
    <t>TestIssuer</t>
  </si>
  <si>
    <t>TESTIS</t>
  </si>
  <si>
    <t>283140</t>
  </si>
  <si>
    <t>283300</t>
  </si>
  <si>
    <t>283310</t>
  </si>
  <si>
    <t>283239</t>
  </si>
  <si>
    <t>283250</t>
  </si>
  <si>
    <t>Green Bond 2023-2026</t>
  </si>
  <si>
    <t>283290</t>
  </si>
  <si>
    <t>283110</t>
  </si>
  <si>
    <t>283263</t>
  </si>
  <si>
    <t>283264</t>
  </si>
  <si>
    <t>283112</t>
  </si>
  <si>
    <t>283132</t>
  </si>
  <si>
    <t>283100</t>
  </si>
  <si>
    <t>283241</t>
  </si>
  <si>
    <t>283246</t>
  </si>
  <si>
    <t>283340</t>
  </si>
  <si>
    <t>283350</t>
  </si>
  <si>
    <t>AT0000A360U8</t>
  </si>
  <si>
    <t>0% Anleihe Österr. 2023-25.4.24</t>
  </si>
  <si>
    <t>Republik Österreich</t>
  </si>
  <si>
    <t>REPOE</t>
  </si>
  <si>
    <t>Country</t>
  </si>
  <si>
    <t>XS1615677280</t>
  </si>
  <si>
    <t>0,625% Landwirtschaftliche Rentenbank 17-27</t>
  </si>
  <si>
    <t>2017009</t>
  </si>
  <si>
    <t>2023016</t>
  </si>
  <si>
    <t>Hypo Vbg Festgeld 2023016</t>
  </si>
  <si>
    <t>2023023</t>
  </si>
  <si>
    <t>2023004</t>
  </si>
  <si>
    <t>BKS Festgeld - Termineinlage 2023004</t>
  </si>
  <si>
    <t>2023005</t>
  </si>
  <si>
    <t>LLB Festgeld - Termineinlage 2023005</t>
  </si>
  <si>
    <t>2023024</t>
  </si>
  <si>
    <t>Bank Austria Festgeld 2023024</t>
  </si>
  <si>
    <t>2023017</t>
  </si>
  <si>
    <t>LGT Callgeld 2023017</t>
  </si>
  <si>
    <t>2023018</t>
  </si>
  <si>
    <t>RLB Festgeld 2023018</t>
  </si>
  <si>
    <t>2023019</t>
  </si>
  <si>
    <t>Kommunalkredit Festgeld 2023019</t>
  </si>
  <si>
    <t>26.01.2024</t>
  </si>
  <si>
    <t>29.11.2023</t>
  </si>
  <si>
    <t>12.12.2017</t>
  </si>
  <si>
    <t>06.09.2018</t>
  </si>
  <si>
    <t>29.11.2018</t>
  </si>
  <si>
    <t>16.05.2018</t>
  </si>
  <si>
    <t>19.12.2017</t>
  </si>
  <si>
    <t>27.02.2018</t>
  </si>
  <si>
    <t>26.04.2023</t>
  </si>
  <si>
    <t>01.10.2021</t>
  </si>
  <si>
    <t>31.07.2012</t>
  </si>
  <si>
    <t>21.12.2021</t>
  </si>
  <si>
    <t>26.03.2020</t>
  </si>
  <si>
    <t>29.11.2019</t>
  </si>
  <si>
    <t>09.05.2018</t>
  </si>
  <si>
    <t>11.12.2018</t>
  </si>
  <si>
    <t>13.12.2019</t>
  </si>
  <si>
    <t>18.12.2019</t>
  </si>
  <si>
    <t>18.02.2022</t>
  </si>
  <si>
    <t>21.02.2022</t>
  </si>
  <si>
    <t>07.03.2022</t>
  </si>
  <si>
    <t>29.03.2022</t>
  </si>
  <si>
    <t>29.04.2022</t>
  </si>
  <si>
    <t>28.04.2022</t>
  </si>
  <si>
    <t>25.04.2022</t>
  </si>
  <si>
    <t>24.05.2022</t>
  </si>
  <si>
    <t>16.05.2022</t>
  </si>
  <si>
    <t>02.06.2022</t>
  </si>
  <si>
    <t>27.06.2022</t>
  </si>
  <si>
    <t>29.08.2022</t>
  </si>
  <si>
    <t>21.09.2022</t>
  </si>
  <si>
    <t>15.09.2022</t>
  </si>
  <si>
    <t>26.09.2022</t>
  </si>
  <si>
    <t>21.10.2022</t>
  </si>
  <si>
    <t>07.02.2023</t>
  </si>
  <si>
    <t>07.03.2023</t>
  </si>
  <si>
    <t>19.05.2023</t>
  </si>
  <si>
    <t>25.05.2023</t>
  </si>
  <si>
    <t>09.05.2023</t>
  </si>
  <si>
    <t>15.12.2023</t>
  </si>
  <si>
    <t>09.11.2017</t>
  </si>
  <si>
    <t>18.09.2023</t>
  </si>
  <si>
    <t>18.12.2023</t>
  </si>
  <si>
    <t>03.04.2023</t>
  </si>
  <si>
    <t>12.04.2023</t>
  </si>
  <si>
    <t>21.12.2023</t>
  </si>
  <si>
    <t>21.09.2023</t>
  </si>
  <si>
    <t>09.10.2023</t>
  </si>
  <si>
    <t>19.10.2023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</si>
</sst>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00%"/>
    <numFmt numFmtId="165" formatCode="0.0000%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sz val="11"/>
      <color theme="1"/>
      <name val="Calibri"/>
      <family val="2"/>
    </font>
    <font>
      <sz val="10"/>
      <color theme="1"/>
      <name val="Calibri"/>
      <family val="2"/>
    </font>
    <font>
      <sz val="8"/>
      <name val="Calibri"/>
      <family val="2"/>
      <scheme val="minor"/>
    </font>
    <font>
      <b/>
      <sz val="10"/>
      <color rgb="FFFFFFFF"/>
      <name val="Calibri"/>
      <family val="2"/>
    </font>
    <font>
      <b/>
      <sz val="10"/>
      <name val="Calibri"/>
      <family val="2"/>
    </font>
    <font>
      <sz val="10"/>
      <name val="Calibri"/>
      <family val="2"/>
    </font>
    <font>
      <sz val="10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4472C4"/>
        <bgColor rgb="FF4472C4"/>
      </patternFill>
    </fill>
    <fill>
      <patternFill patternType="solid">
        <fgColor rgb="FF70AD47"/>
        <bgColor rgb="FF70AD47"/>
      </patternFill>
    </fill>
    <fill>
      <patternFill patternType="solid">
        <fgColor rgb="FFFFF2CC"/>
        <bgColor rgb="FF000000"/>
      </patternFill>
    </fill>
    <fill>
      <patternFill patternType="solid">
        <fgColor rgb="FFE2EFDA"/>
        <bgColor rgb="FFE2EFDA"/>
      </patternFill>
    </fill>
  </fills>
  <borders count="7">
    <border>
      <left/>
      <right/>
      <top/>
      <bottom/>
      <diagonal/>
    </border>
    <border>
      <left style="thin">
        <color rgb="FF8EA9DB"/>
      </left>
      <right/>
      <top style="thin">
        <color rgb="FF8EA9DB"/>
      </top>
      <bottom/>
      <diagonal/>
    </border>
    <border>
      <left/>
      <right/>
      <top style="thin">
        <color rgb="FF8EA9DB"/>
      </top>
      <bottom/>
      <diagonal/>
    </border>
    <border>
      <left/>
      <right style="thin">
        <color rgb="FF8EA9DB"/>
      </right>
      <top style="thin">
        <color rgb="FF8EA9DB"/>
      </top>
      <bottom/>
      <diagonal/>
    </border>
    <border>
      <left/>
      <right/>
      <top style="thin">
        <color rgb="FFA9D08E"/>
      </top>
      <bottom style="thin">
        <color rgb="FFA9D08E"/>
      </bottom>
      <diagonal/>
    </border>
    <border>
      <left/>
      <right/>
      <top/>
      <bottom style="thin">
        <color rgb="FFA9D08E"/>
      </bottom>
      <diagonal/>
    </border>
    <border>
      <left/>
      <right style="thin">
        <color rgb="FFA9D08E"/>
      </right>
      <top/>
      <bottom style="thin">
        <color rgb="FFA9D08E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0" fontId="1" fillId="0" borderId="0"/>
  </cellStyleXfs>
  <cellXfs count="48">
    <xf numFmtId="0" fontId="0" fillId="0" borderId="0" xfId="0"/>
    <xf numFmtId="1" fontId="2" fillId="2" borderId="1" xfId="0" applyNumberFormat="1" applyFont="1" applyFill="1" applyBorder="1"/>
    <xf numFmtId="1" fontId="2" fillId="2" borderId="2" xfId="0" applyNumberFormat="1" applyFont="1" applyFill="1" applyBorder="1"/>
    <xf numFmtId="0" fontId="2" fillId="2" borderId="2" xfId="0" applyFont="1" applyFill="1" applyBorder="1"/>
    <xf numFmtId="14" fontId="2" fillId="2" borderId="2" xfId="0" applyNumberFormat="1" applyFont="1" applyFill="1" applyBorder="1"/>
    <xf numFmtId="0" fontId="2" fillId="2" borderId="3" xfId="0" applyFont="1" applyFill="1" applyBorder="1"/>
    <xf numFmtId="1" fontId="3" fillId="0" borderId="1" xfId="0" applyNumberFormat="1" applyFont="1" applyBorder="1"/>
    <xf numFmtId="1" fontId="3" fillId="0" borderId="2" xfId="0" applyNumberFormat="1" applyFont="1" applyBorder="1"/>
    <xf numFmtId="0" fontId="3" fillId="0" borderId="2" xfId="0" applyFont="1" applyBorder="1"/>
    <xf numFmtId="14" fontId="3" fillId="0" borderId="2" xfId="0" applyNumberFormat="1" applyFont="1" applyBorder="1"/>
    <xf numFmtId="2" fontId="3" fillId="0" borderId="3" xfId="0" applyNumberFormat="1" applyFont="1" applyBorder="1"/>
    <xf numFmtId="0" fontId="3" fillId="0" borderId="0" xfId="0" applyFont="1"/>
    <xf numFmtId="0" fontId="4" fillId="0" borderId="0" xfId="2"/>
    <xf numFmtId="165" fontId="0" fillId="0" borderId="0" xfId="3" applyNumberFormat="1" applyFont="1"/>
    <xf numFmtId="0" fontId="4" fillId="5" borderId="4" xfId="0" applyFont="1" applyFill="1" applyBorder="1"/>
    <xf numFmtId="14" fontId="4" fillId="5" borderId="4" xfId="0" applyNumberFormat="1" applyFont="1" applyFill="1" applyBorder="1"/>
    <xf numFmtId="164" fontId="4" fillId="5" borderId="4" xfId="1" applyNumberFormat="1" applyFont="1" applyFill="1" applyBorder="1"/>
    <xf numFmtId="9" fontId="4" fillId="5" borderId="4" xfId="1" applyFont="1" applyFill="1" applyBorder="1"/>
    <xf numFmtId="2" fontId="4" fillId="4" borderId="4" xfId="0" applyNumberFormat="1" applyFont="1" applyFill="1" applyBorder="1"/>
    <xf numFmtId="0" fontId="4" fillId="4" borderId="4" xfId="0" applyFont="1" applyFill="1" applyBorder="1" applyAlignment="1">
      <alignment horizontal="center"/>
    </xf>
    <xf numFmtId="0" fontId="4" fillId="4" borderId="4" xfId="0" applyFont="1" applyFill="1" applyBorder="1"/>
    <xf numFmtId="1" fontId="4" fillId="4" borderId="0" xfId="0" applyNumberFormat="1" applyFont="1" applyFill="1" applyAlignment="1">
      <alignment horizontal="center"/>
    </xf>
    <xf numFmtId="0" fontId="4" fillId="0" borderId="4" xfId="0" applyFont="1" applyBorder="1"/>
    <xf numFmtId="14" fontId="4" fillId="0" borderId="4" xfId="0" applyNumberFormat="1" applyFont="1" applyBorder="1"/>
    <xf numFmtId="164" fontId="4" fillId="0" borderId="4" xfId="1" applyNumberFormat="1" applyFont="1" applyFill="1" applyBorder="1"/>
    <xf numFmtId="9" fontId="4" fillId="0" borderId="4" xfId="1" applyFont="1" applyFill="1" applyBorder="1"/>
    <xf numFmtId="0" fontId="6" fillId="3" borderId="5" xfId="0" applyFont="1" applyFill="1" applyBorder="1"/>
    <xf numFmtId="164" fontId="6" fillId="3" borderId="5" xfId="1" applyNumberFormat="1" applyFont="1" applyFill="1" applyBorder="1"/>
    <xf numFmtId="2" fontId="7" fillId="4" borderId="5" xfId="0" applyNumberFormat="1" applyFont="1" applyFill="1" applyBorder="1"/>
    <xf numFmtId="0" fontId="7" fillId="4" borderId="5" xfId="0" applyFont="1" applyFill="1" applyBorder="1"/>
    <xf numFmtId="1" fontId="7" fillId="4" borderId="6" xfId="0" applyNumberFormat="1" applyFont="1" applyFill="1" applyBorder="1" applyAlignment="1">
      <alignment horizontal="center"/>
    </xf>
    <xf numFmtId="0" fontId="4" fillId="0" borderId="0" xfId="0" applyFont="1"/>
    <xf numFmtId="164" fontId="4" fillId="0" borderId="0" xfId="1" applyNumberFormat="1" applyFont="1" applyFill="1" applyBorder="1"/>
    <xf numFmtId="2" fontId="8" fillId="4" borderId="0" xfId="0" applyNumberFormat="1" applyFont="1" applyFill="1"/>
    <xf numFmtId="0" fontId="8" fillId="4" borderId="0" xfId="0" applyFont="1" applyFill="1"/>
    <xf numFmtId="1" fontId="8" fillId="4" borderId="0" xfId="0" applyNumberFormat="1" applyFont="1" applyFill="1" applyAlignment="1">
      <alignment horizontal="center"/>
    </xf>
    <xf numFmtId="9" fontId="4" fillId="0" borderId="0" xfId="1" applyFont="1" applyFill="1" applyBorder="1"/>
    <xf numFmtId="2" fontId="4" fillId="4" borderId="0" xfId="0" applyNumberFormat="1" applyFont="1" applyFill="1"/>
    <xf numFmtId="0" fontId="4" fillId="4" borderId="0" xfId="0" applyFont="1" applyFill="1" applyAlignment="1">
      <alignment horizontal="center"/>
    </xf>
    <xf numFmtId="0" fontId="4" fillId="4" borderId="0" xfId="0" applyFont="1" applyFill="1"/>
    <xf numFmtId="14" fontId="4" fillId="0" borderId="0" xfId="0" applyNumberFormat="1" applyFont="1"/>
    <xf numFmtId="164" fontId="9" fillId="0" borderId="0" xfId="1" applyNumberFormat="1" applyFont="1" applyFill="1" applyBorder="1"/>
    <xf numFmtId="9" fontId="9" fillId="0" borderId="0" xfId="1" applyFont="1"/>
    <xf numFmtId="10" fontId="0" fillId="0" borderId="0" xfId="0" applyNumberFormat="1"/>
    <xf numFmtId="0" fontId="1" fillId="0" borderId="0" xfId="4"/>
    <xf numFmtId="14" fontId="9" fillId="5" borderId="4" xfId="0" applyNumberFormat="1" applyFont="1" applyFill="1" applyBorder="1"/>
    <xf numFmtId="14" fontId="9" fillId="0" borderId="4" xfId="0" applyNumberFormat="1" applyFont="1" applyBorder="1"/>
    <xf numFmtId="2" fontId="0" fillId="0" borderId="0" xfId="0" applyNumberFormat="1"/>
  </cellXfs>
  <cellStyles count="5">
    <cellStyle name="Prozent" xfId="1" builtinId="5"/>
    <cellStyle name="Prozent 3" xfId="3" xr:uid="{D327AE4D-BC42-4DB2-9361-AA2BF586D9B6}"/>
    <cellStyle name="Standard" xfId="0" builtinId="0"/>
    <cellStyle name="Standard 3" xfId="2" xr:uid="{5F19DFFA-AAE5-45FF-BDD3-5F67BFC5BE23}"/>
    <cellStyle name="Standard 5" xfId="4" xr:uid="{908C526A-7C0C-49B9-8DF2-DC6F37F79F72}"/>
  </cellStyles>
  <dxfs count="123"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ont>
        <color rgb="FF9C0006"/>
      </font>
      <fill>
        <patternFill>
          <bgColor rgb="FFFFC7CE"/>
        </patternFill>
      </fill>
    </dxf>
    <dxf>
      <numFmt numFmtId="1" formatCode="0"/>
      <fill>
        <patternFill patternType="solid">
          <fgColor rgb="FF000000"/>
          <bgColor rgb="FFFFF2CC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rgb="FF000000"/>
          <bgColor rgb="FFFFF2CC"/>
        </patternFill>
      </fill>
    </dxf>
    <dxf>
      <numFmt numFmtId="0" formatCode="General"/>
      <fill>
        <patternFill patternType="solid">
          <fgColor rgb="FF000000"/>
          <bgColor rgb="FFFFF2CC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rgb="FF000000"/>
          <bgColor rgb="FFFFF2CC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rgb="FF000000"/>
          <bgColor rgb="FFFFF2CC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rgb="FF000000"/>
          <bgColor rgb="FFFFF2CC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rgb="FF000000"/>
          <bgColor rgb="FFFFF2CC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rgb="FF000000"/>
          <bgColor rgb="FFFFF2CC"/>
        </patternFill>
      </fill>
      <alignment horizontal="center" vertical="bottom" textRotation="0" wrapText="0" indent="0" justifyLastLine="0" shrinkToFit="0" readingOrder="0"/>
    </dxf>
    <dxf>
      <numFmt numFmtId="2" formatCode="0.00"/>
      <fill>
        <patternFill patternType="solid">
          <fgColor rgb="FF000000"/>
          <bgColor rgb="FFFFF2CC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numFmt numFmtId="164" formatCode="0.000%"/>
    </dxf>
    <dxf>
      <numFmt numFmtId="19" formatCode="dd/mm/yyyy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  <fill>
        <patternFill patternType="solid">
          <fgColor rgb="FF000000"/>
          <bgColor rgb="FFFFF2CC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rgb="FF000000"/>
          <bgColor rgb="FFFFF2CC"/>
        </patternFill>
      </fill>
    </dxf>
    <dxf>
      <numFmt numFmtId="0" formatCode="General"/>
      <fill>
        <patternFill patternType="solid">
          <fgColor rgb="FF000000"/>
          <bgColor rgb="FFFFF2CC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rgb="FF000000"/>
          <bgColor rgb="FFFFF2CC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rgb="FF000000"/>
          <bgColor rgb="FFFFF2CC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rgb="FF000000"/>
          <bgColor rgb="FFFFF2CC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rgb="FF000000"/>
          <bgColor rgb="FFFFF2CC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rgb="FF000000"/>
          <bgColor rgb="FFFFF2CC"/>
        </patternFill>
      </fill>
      <alignment horizontal="center" vertical="bottom" textRotation="0" wrapText="0" indent="0" justifyLastLine="0" shrinkToFit="0" readingOrder="0"/>
    </dxf>
    <dxf>
      <numFmt numFmtId="2" formatCode="0.00"/>
      <fill>
        <patternFill patternType="solid">
          <fgColor rgb="FF000000"/>
          <bgColor rgb="FFFFF2CC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numFmt numFmtId="164" formatCode="0.000%"/>
    </dxf>
    <dxf>
      <numFmt numFmtId="19" formatCode="dd/mm/yyyy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1" formatCode="0"/>
      <fill>
        <patternFill patternType="solid">
          <fgColor rgb="FF000000"/>
          <bgColor rgb="FFFFF2CC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rgb="FF000000"/>
          <bgColor rgb="FFFFF2CC"/>
        </patternFill>
      </fill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rgb="FF000000"/>
          <bgColor rgb="FFFFF2CC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rgb="FF000000"/>
          <bgColor rgb="FFFFF2CC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rgb="FF000000"/>
          <bgColor rgb="FFFFF2CC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rgb="FF000000"/>
          <bgColor rgb="FFFFF2CC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rgb="FF000000"/>
          <bgColor rgb="FFFFF2CC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rgb="FF000000"/>
          <bgColor rgb="FFFFF2CC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2" formatCode="0.00"/>
      <fill>
        <patternFill patternType="solid">
          <fgColor rgb="FF000000"/>
          <bgColor rgb="FFFFF2CC"/>
        </patternFill>
      </fill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164" formatCode="0.000%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19" formatCode="dd/mm/yyyy"/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19" formatCode="dd/mm/yyyy"/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border outline="0">
        <left style="thin">
          <color rgb="FFA9D08E"/>
        </left>
        <top style="thin">
          <color rgb="FFA9D08E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solid">
          <fgColor rgb="FF000000"/>
          <bgColor rgb="FFFFF2CC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A9D08E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  <fill>
        <patternFill patternType="solid">
          <fgColor rgb="FF000000"/>
          <bgColor rgb="FFFFF2CC"/>
        </patternFill>
      </fill>
    </dxf>
    <dxf>
      <numFmt numFmtId="14" formatCode="0.00%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" formatCode="0"/>
      <fill>
        <patternFill patternType="solid">
          <fgColor rgb="FF000000"/>
          <bgColor rgb="FFFFF2CC"/>
        </patternFill>
      </fill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numFmt numFmtId="164" formatCode="0.000%"/>
    </dxf>
    <dxf>
      <numFmt numFmtId="19" formatCode="dd/mm/yyyy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solid">
          <fgColor rgb="FFE2EFDA"/>
          <bgColor rgb="FFE2EFDA"/>
        </patternFill>
      </fill>
    </dxf>
    <dxf>
      <fill>
        <patternFill patternType="solid">
          <fgColor rgb="FFE2EFDA"/>
          <bgColor rgb="FFE2EFDA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70AD47"/>
        </top>
      </border>
    </dxf>
    <dxf>
      <font>
        <b/>
        <color rgb="FFFFFFFF"/>
      </font>
      <fill>
        <patternFill patternType="solid">
          <fgColor rgb="FF70AD47"/>
          <bgColor rgb="FF70AD47"/>
        </patternFill>
      </fill>
    </dxf>
    <dxf>
      <font>
        <color rgb="FF000000"/>
      </font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</dxfs>
  <tableStyles count="1" defaultTableStyle="TableStyleMedium2" defaultPivotStyle="PivotStyleLight16">
    <tableStyle name="TableStyleMedium7 2" pivot="0" count="7" xr9:uid="{50A8C16C-5CEE-4324-A9A3-83990ECA4D5E}">
      <tableStyleElement type="wholeTable" dxfId="122"/>
      <tableStyleElement type="headerRow" dxfId="121"/>
      <tableStyleElement type="totalRow" dxfId="120"/>
      <tableStyleElement type="firstColumn" dxfId="119"/>
      <tableStyleElement type="lastColumn" dxfId="118"/>
      <tableStyleElement type="firstRowStripe" dxfId="117"/>
      <tableStyleElement type="firstColumnStripe" dxfId="11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35718</xdr:colOff>
      <xdr:row>3</xdr:row>
      <xdr:rowOff>11907</xdr:rowOff>
    </xdr:from>
    <xdr:to>
      <xdr:col>31</xdr:col>
      <xdr:colOff>257175</xdr:colOff>
      <xdr:row>41</xdr:row>
      <xdr:rowOff>40482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A3D21CF8-2BD6-4EB9-AB83-090C693432C8}"/>
            </a:ext>
          </a:extLst>
        </xdr:cNvPr>
        <xdr:cNvSpPr txBox="1"/>
      </xdr:nvSpPr>
      <xdr:spPr>
        <a:xfrm>
          <a:off x="26619993" y="497682"/>
          <a:ext cx="2326482" cy="6343650"/>
        </a:xfrm>
        <a:prstGeom prst="rect">
          <a:avLst/>
        </a:prstGeom>
        <a:solidFill>
          <a:sysClr val="window" lastClr="FFFFFF"/>
        </a:solidFill>
        <a:ln w="9525" cmpd="sng">
          <a:solidFill>
            <a:sysClr val="window" lastClr="FFFFFF">
              <a:shade val="50000"/>
            </a:sysClr>
          </a:solidFill>
        </a:ln>
        <a:effectLst/>
      </xdr:spPr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1. First-Lien Loan – Senior Secured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2. Second-Lien Loan – Secured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3. Senior Unsecured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4. Senior Subordinated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5. Subordinated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6. Junior Subordinated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de-AT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de-AT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Senior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  <a:endParaRPr kumimoji="0" lang="de-AT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Tier3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Upper Tier2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Lower Tier 2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Tier 1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Equity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de-AT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de-AT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32</xdr:col>
      <xdr:colOff>0</xdr:colOff>
      <xdr:row>3</xdr:row>
      <xdr:rowOff>0</xdr:rowOff>
    </xdr:from>
    <xdr:to>
      <xdr:col>34</xdr:col>
      <xdr:colOff>650082</xdr:colOff>
      <xdr:row>41</xdr:row>
      <xdr:rowOff>28575</xdr:rowOff>
    </xdr:to>
    <xdr:sp macro="" textlink="">
      <xdr:nvSpPr>
        <xdr:cNvPr id="3" name="Textfeld 2">
          <a:extLst>
            <a:ext uri="{FF2B5EF4-FFF2-40B4-BE49-F238E27FC236}">
              <a16:creationId xmlns:a16="http://schemas.microsoft.com/office/drawing/2014/main" id="{EB3FF09F-048A-4E52-83CD-826EA35C170D}"/>
            </a:ext>
          </a:extLst>
        </xdr:cNvPr>
        <xdr:cNvSpPr txBox="1"/>
      </xdr:nvSpPr>
      <xdr:spPr>
        <a:xfrm>
          <a:off x="29432250" y="485775"/>
          <a:ext cx="2326482" cy="6343650"/>
        </a:xfrm>
        <a:prstGeom prst="rect">
          <a:avLst/>
        </a:prstGeom>
        <a:solidFill>
          <a:sysClr val="window" lastClr="FFFFFF"/>
        </a:solidFill>
        <a:ln w="9525" cmpd="sng">
          <a:solidFill>
            <a:sysClr val="window" lastClr="FFFFFF">
              <a:shade val="50000"/>
            </a:sysClr>
          </a:solidFill>
        </a:ln>
        <a:effectLst/>
      </xdr:spPr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1. Senior Secured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2. Senior Unsecured</a:t>
          </a:r>
          <a:endParaRPr kumimoji="0" lang="de-AT" sz="18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3. Senior Subordinated</a:t>
          </a:r>
          <a:endParaRPr kumimoji="0" lang="de-AT" sz="18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4. Junior Subordinated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de-AT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de-AT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Senior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  <a:endParaRPr kumimoji="0" lang="de-AT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Tier3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Upper Tier2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Lower Tier 2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Tier 1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Equity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de-AT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de-AT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35718</xdr:colOff>
      <xdr:row>3</xdr:row>
      <xdr:rowOff>11907</xdr:rowOff>
    </xdr:from>
    <xdr:to>
      <xdr:col>43</xdr:col>
      <xdr:colOff>414337</xdr:colOff>
      <xdr:row>43</xdr:row>
      <xdr:rowOff>40482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C61DAD26-B02B-408E-98B4-BCFB84EE8810}"/>
            </a:ext>
          </a:extLst>
        </xdr:cNvPr>
        <xdr:cNvSpPr txBox="1"/>
      </xdr:nvSpPr>
      <xdr:spPr>
        <a:xfrm>
          <a:off x="33306543" y="497682"/>
          <a:ext cx="4902994" cy="6505575"/>
        </a:xfrm>
        <a:prstGeom prst="rect">
          <a:avLst/>
        </a:prstGeom>
        <a:solidFill>
          <a:sysClr val="window" lastClr="FFFFFF"/>
        </a:solidFill>
        <a:ln w="9525" cmpd="sng">
          <a:solidFill>
            <a:sysClr val="window" lastClr="FFFFFF">
              <a:shade val="50000"/>
            </a:sysClr>
          </a:solidFill>
        </a:ln>
        <a:effectLst/>
      </xdr:spPr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1. First-Lien Loan – Senior Secured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2. Second-Lien Loan – Secured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3. Senior Unsecured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4. Senior Subordinated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5. Subordinated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6. Junior Subordinated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de-AT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de-AT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Senior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  <a:endParaRPr kumimoji="0" lang="de-AT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Tier3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Upper Tier2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Lower Tier 2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Tier 1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Equity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de-AT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de-AT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35718</xdr:colOff>
      <xdr:row>3</xdr:row>
      <xdr:rowOff>11907</xdr:rowOff>
    </xdr:from>
    <xdr:to>
      <xdr:col>43</xdr:col>
      <xdr:colOff>414337</xdr:colOff>
      <xdr:row>43</xdr:row>
      <xdr:rowOff>40482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C7C54763-EA0B-4DEE-8B15-F2406D35A01E}"/>
            </a:ext>
          </a:extLst>
        </xdr:cNvPr>
        <xdr:cNvSpPr txBox="1"/>
      </xdr:nvSpPr>
      <xdr:spPr>
        <a:xfrm>
          <a:off x="33306543" y="161925"/>
          <a:ext cx="4902994" cy="3117057"/>
        </a:xfrm>
        <a:prstGeom prst="rect">
          <a:avLst/>
        </a:prstGeom>
        <a:solidFill>
          <a:sysClr val="window" lastClr="FFFFFF"/>
        </a:solidFill>
        <a:ln w="9525" cmpd="sng">
          <a:solidFill>
            <a:sysClr val="window" lastClr="FFFFFF">
              <a:shade val="50000"/>
            </a:sysClr>
          </a:solidFill>
        </a:ln>
        <a:effectLst/>
      </xdr:spPr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1. First-Lien Loan – Senior Secured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2. Second-Lien Loan – Secured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3. Senior Unsecured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4. Senior Subordinated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5. Subordinated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6. Junior Subordinated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de-AT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de-AT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Senior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  <a:endParaRPr kumimoji="0" lang="de-AT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Tier3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Upper Tier2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Lower Tier 2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Tier 1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Equity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de-AT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de-AT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f6f05ca68a5020da/Desktop/MARKET_DATA_2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BLAUF"/>
      <sheetName val="Input_DEF_CORR"/>
      <sheetName val="FRED_CS"/>
      <sheetName val="FRED_CS_DELTAS"/>
      <sheetName val="EU_RATES_act"/>
      <sheetName val="C_SPREAD_act"/>
      <sheetName val="CS_Interplation_act"/>
      <sheetName val="ALL_PROD_RISK"/>
      <sheetName val="EAD_DP_CDS"/>
      <sheetName val="DP"/>
      <sheetName val="ALL_RATES_CS_t"/>
      <sheetName val="ALL_DELTAS"/>
      <sheetName val="ALL_EU_BENCH_DELTAS"/>
      <sheetName val="ALL_EU_BENCH"/>
      <sheetName val="PQ_CS_DELTAS"/>
      <sheetName val="DEFAULT_Corr"/>
      <sheetName val="Eigensystem"/>
      <sheetName val="WEIGHTS"/>
      <sheetName val="MARKET_DATA_2.0"/>
    </sheetNames>
    <sheetDataSet>
      <sheetData sheetId="0"/>
      <sheetData sheetId="1"/>
      <sheetData sheetId="2"/>
      <sheetData sheetId="3"/>
      <sheetData sheetId="4"/>
      <sheetData sheetId="5"/>
      <sheetData sheetId="6">
        <row r="15">
          <cell r="E15" t="str">
            <v>obj_00002#0001</v>
          </cell>
        </row>
        <row r="16">
          <cell r="E16">
            <v>0</v>
          </cell>
        </row>
        <row r="17">
          <cell r="E17" t="str">
            <v>RATING</v>
          </cell>
        </row>
        <row r="18">
          <cell r="E18" t="str">
            <v>AAA</v>
          </cell>
        </row>
        <row r="19">
          <cell r="E19" t="str">
            <v>AA+</v>
          </cell>
        </row>
        <row r="20">
          <cell r="E20" t="str">
            <v>AA</v>
          </cell>
        </row>
        <row r="21">
          <cell r="E21" t="str">
            <v>AA-</v>
          </cell>
        </row>
        <row r="22">
          <cell r="E22" t="str">
            <v>A+</v>
          </cell>
        </row>
        <row r="23">
          <cell r="E23" t="str">
            <v>A</v>
          </cell>
        </row>
        <row r="24">
          <cell r="E24" t="str">
            <v>A-</v>
          </cell>
        </row>
        <row r="25">
          <cell r="E25" t="str">
            <v>BBB+</v>
          </cell>
        </row>
        <row r="26">
          <cell r="E26" t="str">
            <v>BBB</v>
          </cell>
        </row>
        <row r="27">
          <cell r="E27" t="str">
            <v>BBB-</v>
          </cell>
        </row>
        <row r="28">
          <cell r="E28" t="str">
            <v>BB+</v>
          </cell>
        </row>
        <row r="29">
          <cell r="E29" t="str">
            <v>BB</v>
          </cell>
        </row>
        <row r="30">
          <cell r="E30" t="str">
            <v>BB-</v>
          </cell>
        </row>
        <row r="39">
          <cell r="E39" t="str">
            <v>TtM</v>
          </cell>
        </row>
        <row r="40">
          <cell r="E40">
            <v>0.5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" connectionId="1" xr16:uid="{9FB7A00E-79AE-4AFC-869B-2852A3FA1276}" autoFormatId="16" applyNumberFormats="0" applyBorderFormats="0" applyFontFormats="0" applyPatternFormats="0" applyAlignmentFormats="0" applyWidthHeightFormats="0">
  <queryTableRefresh nextId="66" unboundColumnsRight="1">
    <queryTableFields count="27">
      <queryTableField id="29" name="INCLUDE" tableColumnId="29"/>
      <queryTableField id="2" name="PROD_ID" tableColumnId="2"/>
      <queryTableField id="3" name="NAME" tableColumnId="3"/>
      <queryTableField id="30" name="DESCRIPTION" tableColumnId="30"/>
      <queryTableField id="5" name="ISSUER" tableColumnId="5"/>
      <queryTableField id="6" name="CATEGORY" tableColumnId="6"/>
      <queryTableField id="7" name="CURRENCY" tableColumnId="7"/>
      <queryTableField id="31" name="START_DATE" tableColumnId="31"/>
      <queryTableField id="9" name="MATURITY" tableColumnId="9"/>
      <queryTableField id="32" name="COUPON" tableColumnId="32"/>
      <queryTableField id="64" name="Rank" tableColumnId="10"/>
      <queryTableField id="33" name="TENOR" tableColumnId="33"/>
      <queryTableField id="12" name="TICKER" tableColumnId="12"/>
      <queryTableField id="13" name="INDUSTRY" tableColumnId="13"/>
      <queryTableField id="14" name="COUNTRY" tableColumnId="14"/>
      <queryTableField id="34" name="CouponType" tableColumnId="34"/>
      <queryTableField id="35" name="GEARING" tableColumnId="35"/>
      <queryTableField id="36" name="INDEX" tableColumnId="36"/>
      <queryTableField id="37" name="FLOOR" tableColumnId="37"/>
      <queryTableField id="38" name="CAP" tableColumnId="38"/>
      <queryTableField id="39" name="SPREADS" tableColumnId="39"/>
      <queryTableField id="21" name="RATING_PROD" tableColumnId="21"/>
      <queryTableField id="40" name="TermType" tableColumnId="40"/>
      <queryTableField id="41" name="INCLUDE_ISSUER" tableColumnId="41"/>
      <queryTableField id="42" name="ESG_RATING" tableColumnId="42"/>
      <queryTableField id="60" name="TermSheets" tableColumnId="1"/>
      <queryTableField id="28" dataBound="0" tableColumnId="28"/>
    </queryTableFields>
    <queryTableDeletedFields count="1">
      <deletedField name="RATING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4" xr16:uid="{64A22421-2ADC-4F62-8A80-1C0161831C71}" autoFormatId="16" applyNumberFormats="0" applyBorderFormats="0" applyFontFormats="0" applyPatternFormats="0" applyAlignmentFormats="0" applyWidthHeightFormats="0">
  <queryTableRefresh nextId="4" unboundColumnsRight="1">
    <queryTableFields count="3">
      <queryTableField id="1" name="Name" tableColumnId="1"/>
      <queryTableField id="2" name="RATES" tableColumnId="2"/>
      <queryTableField id="3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" connectionId="2" xr16:uid="{946451E1-2310-41EE-8331-807C0FCD3AA1}" autoFormatId="16" applyNumberFormats="0" applyBorderFormats="0" applyFontFormats="0" applyPatternFormats="0" applyAlignmentFormats="0" applyWidthHeightFormats="0">
  <queryTableRefresh nextId="66" unboundColumnsRight="9">
    <queryTableFields count="36">
      <queryTableField id="29" name="INCLUDE" tableColumnId="29"/>
      <queryTableField id="2" name="PROD_ID" tableColumnId="2"/>
      <queryTableField id="3" name="NAME" tableColumnId="3"/>
      <queryTableField id="30" name="DESCRIPTION" tableColumnId="30"/>
      <queryTableField id="5" name="ISSUER" tableColumnId="5"/>
      <queryTableField id="6" name="CATEGORY" tableColumnId="6"/>
      <queryTableField id="7" name="CURRENCY" tableColumnId="7"/>
      <queryTableField id="31" name="START_DATE" tableColumnId="31"/>
      <queryTableField id="9" name="MATURITY" tableColumnId="9"/>
      <queryTableField id="32" name="COUPON" tableColumnId="32"/>
      <queryTableField id="64" name="Rank" tableColumnId="10"/>
      <queryTableField id="33" name="TENOR" tableColumnId="33"/>
      <queryTableField id="12" name="TICKER" tableColumnId="12"/>
      <queryTableField id="13" name="INDUSTRY" tableColumnId="13"/>
      <queryTableField id="14" name="COUNTRY" tableColumnId="14"/>
      <queryTableField id="34" name="CouponType" tableColumnId="34"/>
      <queryTableField id="35" name="GEARING" tableColumnId="35"/>
      <queryTableField id="36" name="INDEX" tableColumnId="36"/>
      <queryTableField id="37" name="FLOOR" tableColumnId="37"/>
      <queryTableField id="38" name="CAP" tableColumnId="38"/>
      <queryTableField id="39" name="SPREADS" tableColumnId="39"/>
      <queryTableField id="21" name="RATING_PROD" tableColumnId="21"/>
      <queryTableField id="40" name="TermType" tableColumnId="40"/>
      <queryTableField id="41" name="INCLUDE_ISSUER" tableColumnId="41"/>
      <queryTableField id="24" name="RATING" tableColumnId="24"/>
      <queryTableField id="42" name="ESG_RATING" tableColumnId="42"/>
      <queryTableField id="60" name="TermSheets" tableColumnId="1"/>
      <queryTableField id="26" dataBound="0" tableColumnId="26"/>
      <queryTableField id="56" dataBound="0" tableColumnId="43"/>
      <queryTableField id="58" dataBound="0" tableColumnId="44"/>
      <queryTableField id="62" dataBound="0" tableColumnId="8"/>
      <queryTableField id="59" dataBound="0" tableColumnId="45"/>
      <queryTableField id="61" dataBound="0" tableColumnId="4"/>
      <queryTableField id="27" dataBound="0" tableColumnId="27"/>
      <queryTableField id="63" dataBound="0" tableColumnId="11"/>
      <queryTableField id="28" dataBound="0" tableColumnId="28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" connectionId="3" xr16:uid="{24FD7F85-77D7-41D5-B357-2A2669A2DC29}" autoFormatId="16" applyNumberFormats="0" applyBorderFormats="0" applyFontFormats="0" applyPatternFormats="0" applyAlignmentFormats="0" applyWidthHeightFormats="0">
  <queryTableRefresh nextId="66" unboundColumnsRight="9">
    <queryTableFields count="36">
      <queryTableField id="29" name="INCLUDE" tableColumnId="29"/>
      <queryTableField id="2" name="PROD_ID" tableColumnId="2"/>
      <queryTableField id="3" name="NAME" tableColumnId="3"/>
      <queryTableField id="30" name="DESCRIPTION" tableColumnId="30"/>
      <queryTableField id="5" name="ISSUER" tableColumnId="5"/>
      <queryTableField id="6" name="CATEGORY" tableColumnId="6"/>
      <queryTableField id="7" name="CURRENCY" tableColumnId="7"/>
      <queryTableField id="31" name="START_DATE" tableColumnId="31"/>
      <queryTableField id="9" name="MATURITY" tableColumnId="9"/>
      <queryTableField id="32" name="COUPON" tableColumnId="32"/>
      <queryTableField id="64" name="Rank" tableColumnId="10"/>
      <queryTableField id="33" name="TENOR" tableColumnId="33"/>
      <queryTableField id="12" name="TICKER" tableColumnId="12"/>
      <queryTableField id="13" name="INDUSTRY" tableColumnId="13"/>
      <queryTableField id="14" name="COUNTRY" tableColumnId="14"/>
      <queryTableField id="34" name="CouponType" tableColumnId="34"/>
      <queryTableField id="35" name="GEARING" tableColumnId="35"/>
      <queryTableField id="36" name="INDEX" tableColumnId="36"/>
      <queryTableField id="37" name="FLOOR" tableColumnId="37"/>
      <queryTableField id="38" name="CAP" tableColumnId="38"/>
      <queryTableField id="39" name="SPREADS" tableColumnId="39"/>
      <queryTableField id="21" name="RATING_PROD" tableColumnId="21"/>
      <queryTableField id="40" name="TermType" tableColumnId="40"/>
      <queryTableField id="41" name="INCLUDE_ISSUER" tableColumnId="41"/>
      <queryTableField id="24" name="RATING" tableColumnId="24"/>
      <queryTableField id="42" name="ESG_RATING" tableColumnId="42"/>
      <queryTableField id="60" name="TermSheets" tableColumnId="1"/>
      <queryTableField id="26" dataBound="0" tableColumnId="26"/>
      <queryTableField id="56" dataBound="0" tableColumnId="43"/>
      <queryTableField id="58" dataBound="0" tableColumnId="44"/>
      <queryTableField id="62" dataBound="0" tableColumnId="8"/>
      <queryTableField id="59" dataBound="0" tableColumnId="45"/>
      <queryTableField id="61" dataBound="0" tableColumnId="4"/>
      <queryTableField id="27" dataBound="0" tableColumnId="27"/>
      <queryTableField id="63" dataBound="0" tableColumnId="11"/>
      <queryTableField id="28" dataBound="0" tableColumnId="28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791ED2F-17F0-4C7B-873E-5B67B03122F3}" name="Tabelle4" displayName="Tabelle4" ref="A1:J32" totalsRowShown="0">
  <autoFilter ref="A1:J32" xr:uid="{C791ED2F-17F0-4C7B-873E-5B67B03122F3}"/>
  <tableColumns count="10">
    <tableColumn id="1" xr3:uid="{074E1D15-B084-487B-8911-DE870E46A060}" name="INCLUDE"/>
    <tableColumn id="2" xr3:uid="{8B99EB73-B363-4D2F-96B6-B0F7EA69BBF4}" name="ISSUER"/>
    <tableColumn id="3" xr3:uid="{5BF540CD-89EB-4E1B-9C0C-3FDED0F69C59}" name="TICKER"/>
    <tableColumn id="4" xr3:uid="{7A57E63A-98D2-4CC6-BA19-2CC68FDB45C1}" name="RATING_1"/>
    <tableColumn id="5" xr3:uid="{6900611A-5AD0-4715-A741-5CB9D6CC435A}" name="RATING"/>
    <tableColumn id="6" xr3:uid="{793DB483-DB43-449D-8BB3-C6E7229DF76C}" name="INDUSTRY"/>
    <tableColumn id="7" xr3:uid="{E72AA60F-AD18-428C-9D48-630C8F637E5F}" name="ESG_RATING"/>
    <tableColumn id="8" xr3:uid="{7E76F7E5-35A2-4491-B8F2-BAB2778BDD52}" name="COUNTRY"/>
    <tableColumn id="9" xr3:uid="{801DAC14-E2D0-452B-857B-6A063BA0A08D}" name="in ISSUER_Database"/>
    <tableColumn id="10" xr3:uid="{EECAE027-DFB1-41A1-850E-5173BF075DEB}" name="SECTO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73D7215-8BE6-4CA0-9D30-D98C5B273EB8}" name="ALL_PROD_RISK" displayName="ALL_PROD_RISK" ref="A1:AA71" tableType="queryTable" totalsRowShown="0">
  <autoFilter ref="A1:AA71" xr:uid="{473D7215-8BE6-4CA0-9D30-D98C5B273EB8}"/>
  <tableColumns count="27">
    <tableColumn id="29" xr3:uid="{9ED69107-351E-4931-AF50-F9756008F737}" uniqueName="29" name="INCLUDE" queryTableFieldId="29"/>
    <tableColumn id="2" xr3:uid="{F9A99441-5091-46A4-9468-B12339AD25EB}" uniqueName="2" name="PROD_ID" queryTableFieldId="2"/>
    <tableColumn id="3" xr3:uid="{FAF6FCC2-458A-4029-A0BD-97716A119D31}" uniqueName="3" name="NAME" queryTableFieldId="3" dataDxfId="115"/>
    <tableColumn id="30" xr3:uid="{D070D03B-DC37-4131-94B1-46DAE90258D5}" uniqueName="30" name="DESCRIPTION" queryTableFieldId="30" dataDxfId="114"/>
    <tableColumn id="5" xr3:uid="{1CC6F9EF-9C6C-4602-B397-F7E5D32F3B22}" uniqueName="5" name="ISSUER" queryTableFieldId="5" dataDxfId="113"/>
    <tableColumn id="6" xr3:uid="{698AB065-583F-4868-AD42-37FA96C492E6}" uniqueName="6" name="CATEGORY" queryTableFieldId="6" dataDxfId="112"/>
    <tableColumn id="7" xr3:uid="{E149B83B-B6A9-413D-A720-E59D46C89F5D}" uniqueName="7" name="CURRENCY" queryTableFieldId="7" dataDxfId="111"/>
    <tableColumn id="31" xr3:uid="{AFA09E07-37D5-4FFF-9483-F6BA447822CD}" uniqueName="31" name="START_DATE" queryTableFieldId="31" dataDxfId="110"/>
    <tableColumn id="9" xr3:uid="{3E089F61-2D41-4791-90ED-4B1E7BAA79FB}" uniqueName="9" name="MATURITY" queryTableFieldId="9" dataDxfId="109"/>
    <tableColumn id="32" xr3:uid="{D4EB6357-BFF1-48B8-91A1-72A4BD4C767B}" uniqueName="32" name="COUPON" queryTableFieldId="32" dataDxfId="108" dataCellStyle="Prozent"/>
    <tableColumn id="10" xr3:uid="{2C034E94-853E-492A-AB86-FF33DB7AD718}" uniqueName="10" name="RANK" queryTableFieldId="64" dataDxfId="107" dataCellStyle="Prozent"/>
    <tableColumn id="33" xr3:uid="{6744D51D-82AD-4546-B6AA-F9C524501E5F}" uniqueName="33" name="TENOR" queryTableFieldId="33"/>
    <tableColumn id="12" xr3:uid="{32C829CB-4520-4F1E-B856-18D3D5BC3310}" uniqueName="12" name="TICKER" queryTableFieldId="12" dataDxfId="106"/>
    <tableColumn id="13" xr3:uid="{481FE261-0E86-4FC7-8B70-AB9054B1EE88}" uniqueName="13" name="INDUSTRY" queryTableFieldId="13" dataDxfId="105"/>
    <tableColumn id="14" xr3:uid="{9FC680D1-C2CC-4A21-99AD-C9A19766768E}" uniqueName="14" name="COUNTRY" queryTableFieldId="14" dataDxfId="104"/>
    <tableColumn id="34" xr3:uid="{27970C6B-A561-4CB1-9B85-9461695E6FFC}" uniqueName="34" name="CouponType" queryTableFieldId="34" dataDxfId="103"/>
    <tableColumn id="35" xr3:uid="{F3A9EA93-D452-4272-A762-BCB2199251C2}" uniqueName="35" name="GEARING" queryTableFieldId="35"/>
    <tableColumn id="36" xr3:uid="{0A09FDE4-0A70-4A02-9449-F641FED5FA59}" uniqueName="36" name="INDEX" queryTableFieldId="36" dataDxfId="102"/>
    <tableColumn id="37" xr3:uid="{389AFF35-E631-4796-9499-F0E2A5C8E552}" uniqueName="37" name="FLOOR" queryTableFieldId="37"/>
    <tableColumn id="38" xr3:uid="{70E7F4F7-8BB7-4748-8E5A-F1032F4B5310}" uniqueName="38" name="CAP" queryTableFieldId="38"/>
    <tableColumn id="39" xr3:uid="{AB0C038F-1843-4C4B-8867-06CD908FA69D}" uniqueName="39" name="SPREADS" queryTableFieldId="39"/>
    <tableColumn id="21" xr3:uid="{7A5311E1-C0EC-4442-99A3-178406E82FBA}" uniqueName="21" name="RATING_PROD" queryTableFieldId="21"/>
    <tableColumn id="40" xr3:uid="{9DF8FFF6-962B-4B16-9A79-691330910A92}" uniqueName="40" name="TermType" queryTableFieldId="40" dataDxfId="101"/>
    <tableColumn id="41" xr3:uid="{2D902C67-5192-4717-8C3D-DA85C7B462A4}" uniqueName="41" name="INCLUDE_ISSUER" queryTableFieldId="41"/>
    <tableColumn id="42" xr3:uid="{F958D729-6C37-447C-9CAE-C0C40914BC40}" uniqueName="42" name="ESG_RATING" queryTableFieldId="42" dataDxfId="100"/>
    <tableColumn id="1" xr3:uid="{142AEF2A-0AD7-4C0E-8DFF-CC24D6BE90B8}" uniqueName="1" name="TermSheets" queryTableFieldId="60"/>
    <tableColumn id="28" xr3:uid="{18B400A3-DF0E-450D-B058-B452EA1FC90C}" uniqueName="28" name="CS_Szenario" queryTableFieldId="28" dataDxfId="99"/>
  </tableColumns>
  <tableStyleInfo name="TableStyleMedium7 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1E4C565-88D4-41A8-A8E2-C28D663211D2}" name="RANKtbl" displayName="RANKtbl" ref="A1:B6" totalsRowShown="0" headerRowDxfId="98" headerRowCellStyle="Standard 5" dataCellStyle="Standard 5">
  <autoFilter ref="A1:B6" xr:uid="{B1E4C565-88D4-41A8-A8E2-C28D663211D2}"/>
  <tableColumns count="2">
    <tableColumn id="1" xr3:uid="{5124631F-1AFA-4022-9524-66D5D2759495}" name="RANK" dataCellStyle="Standard 5"/>
    <tableColumn id="2" xr3:uid="{48A7AE2E-63BA-427B-AF48-B4B040BC683C}" name="STEPS" dataCellStyle="Standard 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32A30C5-07BC-457B-B1B8-744159890D4C}" name="EUSW" displayName="EUSW" ref="A1:C19" tableType="queryTable" totalsRowShown="0">
  <autoFilter ref="A1:C19" xr:uid="{232A30C5-07BC-457B-B1B8-744159890D4C}"/>
  <tableColumns count="3">
    <tableColumn id="1" xr3:uid="{37FFCF62-9241-423D-A4E0-392D3D016D15}" uniqueName="1" name="Name" queryTableFieldId="1" dataDxfId="97"/>
    <tableColumn id="2" xr3:uid="{7EF7B267-88F5-4B49-9F08-68284ADBADEA}" uniqueName="2" name="RATES" queryTableFieldId="2"/>
    <tableColumn id="3" xr3:uid="{01FE9320-0A59-4E0D-A845-E12B085BC59E}" uniqueName="3" name="RATES_%" queryTableFieldId="3" dataDxfId="96">
      <calculatedColumnFormula>EUSW[[#This Row],[RATES]]/100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63208D6-9910-4550-94C3-60474A5026CF}" name="Tabelle24" displayName="Tabelle24" ref="A1:AJ41" totalsRowShown="0" headerRowDxfId="95" dataDxfId="93" headerRowBorderDxfId="94" tableBorderDxfId="92">
  <autoFilter ref="A1:AJ41" xr:uid="{3D1FA044-6971-4888-8527-8F8BAC0D0C3B}"/>
  <tableColumns count="36">
    <tableColumn id="1" xr3:uid="{EDCAC7B5-2773-4B2C-81C4-DC1BB4490FC9}" name="INCLUDE" dataDxfId="91"/>
    <tableColumn id="2" xr3:uid="{3619A644-C8C0-4B30-B494-31C925ABD182}" name="PROD_ID" dataDxfId="90"/>
    <tableColumn id="3" xr3:uid="{4BED631A-9D3A-475E-BBB7-512FE26DF557}" name="NAME" dataDxfId="89"/>
    <tableColumn id="4" xr3:uid="{556F14AB-9E77-401C-8A7D-56B85F3FAD4C}" name="DESCRIPTION" dataDxfId="88"/>
    <tableColumn id="5" xr3:uid="{01F38F43-70F1-4321-98F9-1098C9A018C5}" name="ISSUER" dataDxfId="87"/>
    <tableColumn id="6" xr3:uid="{830711B5-B749-4343-A548-24D7E2B206E5}" name="CATEGORY" dataDxfId="86"/>
    <tableColumn id="7" xr3:uid="{4FDB208F-9A74-43F5-9A0D-AD9180C18967}" name="CURRENCY" dataDxfId="85"/>
    <tableColumn id="8" xr3:uid="{1908FBEA-68ED-40DD-8191-9F23D1033CAE}" name="START_DATE" dataDxfId="84"/>
    <tableColumn id="9" xr3:uid="{97E9EF8B-BFD4-428D-99B9-C6986BF32AD1}" name="MATURITY" dataDxfId="83"/>
    <tableColumn id="10" xr3:uid="{7DCE6942-21B1-4761-B636-2EF970897DF7}" name="COUPON" dataDxfId="82" dataCellStyle="Prozent"/>
    <tableColumn id="11" xr3:uid="{456B44BB-7BB2-4E70-87B7-395538A20383}" name="Rank" dataDxfId="81" dataCellStyle="Prozent"/>
    <tableColumn id="12" xr3:uid="{412EE874-042D-4352-83E8-92CD62665166}" name="TENOR" dataDxfId="80"/>
    <tableColumn id="13" xr3:uid="{D0F39481-376C-40F7-896E-A72D6921371B}" name="TICKER" dataDxfId="79"/>
    <tableColumn id="14" xr3:uid="{063A3853-0A38-4514-ACAE-234A4C90E374}" name="INDUSTRY" dataDxfId="78"/>
    <tableColumn id="15" xr3:uid="{B40A5FC7-A60B-41EE-AE6E-8C9C86D78127}" name="COUNTRY" dataDxfId="77"/>
    <tableColumn id="16" xr3:uid="{C428640D-BC4B-4964-870F-D1E8F26D721A}" name="CouponType" dataDxfId="76"/>
    <tableColumn id="17" xr3:uid="{75D05DB1-1539-4C35-9A7E-3551FFCB2741}" name="GEARING" dataDxfId="75"/>
    <tableColumn id="18" xr3:uid="{40159F81-7C0D-4140-9B76-B5828DA8EBC1}" name="INDEX" dataDxfId="74"/>
    <tableColumn id="19" xr3:uid="{495FD942-C71D-47CC-BAFF-2C81EB2C6DDB}" name="FLOOR" dataDxfId="73"/>
    <tableColumn id="20" xr3:uid="{B62CC58A-5ED6-4BFA-9FAC-02D86B134CC2}" name="CAP" dataDxfId="72"/>
    <tableColumn id="21" xr3:uid="{5757D4A6-3CBE-4000-9BD7-C675D96E566A}" name="SPREADS" dataDxfId="71"/>
    <tableColumn id="22" xr3:uid="{54E66E5C-6F91-4DCE-B6F1-01AB89CC55CE}" name="RATING_PROD" dataDxfId="70"/>
    <tableColumn id="23" xr3:uid="{117EE052-4533-41B1-838D-741BA7614A21}" name="TermType" dataDxfId="69"/>
    <tableColumn id="24" xr3:uid="{62DD1C82-D067-4F81-8293-146B0CB59AE7}" name="INCLUDE_ISSUER" dataDxfId="68"/>
    <tableColumn id="25" xr3:uid="{2A2539E3-3B8E-49F5-BBF8-C07CBDB4E92D}" name="RATING" dataDxfId="67"/>
    <tableColumn id="26" xr3:uid="{C16D4EFF-ED5D-4D6E-89B0-D29CAD5C29D2}" name="ESG_RATING" dataDxfId="66"/>
    <tableColumn id="27" xr3:uid="{5D947A1C-8B59-42E9-A541-0D7A4C624854}" name="TermSheets" dataDxfId="65"/>
    <tableColumn id="28" xr3:uid="{BCBB08E2-B7A0-4C66-B687-F5F0FCF525FB}" name="TtM" dataDxfId="64"/>
    <tableColumn id="29" xr3:uid="{FC196544-2981-400A-BE0A-DABD0414FB64}" name="RANK_S" dataDxfId="63"/>
    <tableColumn id="30" xr3:uid="{983427D5-1D72-4B57-9AD1-9073D5D8EC79}" name="AAA" dataDxfId="62"/>
    <tableColumn id="31" xr3:uid="{7520C8F1-625B-4B76-B880-E36D9D4B89FA}" name="Systemrelevant" dataDxfId="61"/>
    <tableColumn id="32" xr3:uid="{333353C5-F42C-45C1-B505-239A4C5CF381}" name="BANK" dataDxfId="60"/>
    <tableColumn id="33" xr3:uid="{A8E1FBDC-C874-4B4D-8BB9-156799562EDD}" name="HYPO" dataDxfId="59"/>
    <tableColumn id="34" xr3:uid="{43FC40BC-C609-4D3D-995D-C7B527F497AC}" name="C_INDEX" dataDxfId="58"/>
    <tableColumn id="35" xr3:uid="{CC75C942-BE4E-425F-B9E3-107DDA8128DE}" name="BOND_RATING_M" dataDxfId="57"/>
    <tableColumn id="36" xr3:uid="{D826B796-3B65-4519-892C-1570458869B9}" name="C_SPREAD" dataDxfId="5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DF4EFD3-53A7-4566-9060-991C31980F43}" name="ALL_PROD_RISK3" displayName="ALL_PROD_RISK3" ref="A1:AJ73" tableType="queryTable" totalsRowShown="0">
  <autoFilter ref="A1:AJ73" xr:uid="{473D7215-8BE6-4CA0-9D30-D98C5B273EB8}"/>
  <tableColumns count="36">
    <tableColumn id="29" xr3:uid="{CFBBD5A7-DB49-4657-84CD-39BD571E6C38}" uniqueName="29" name="INCLUDE" queryTableFieldId="29"/>
    <tableColumn id="2" xr3:uid="{70D4A863-492A-4597-8A19-8F1AD9698202}" uniqueName="2" name="PROD_ID" queryTableFieldId="2"/>
    <tableColumn id="3" xr3:uid="{63D9A2F8-2BF0-4CF0-99BB-CD4DBE166C47}" uniqueName="3" name="NAME" queryTableFieldId="3" dataDxfId="55"/>
    <tableColumn id="30" xr3:uid="{846577D4-9A12-4CDC-B27F-FEB2E8C637DE}" uniqueName="30" name="DESCRIPTION" queryTableFieldId="30" dataDxfId="54"/>
    <tableColumn id="5" xr3:uid="{C3A7FA8C-EC0E-4E31-9988-79078930178D}" uniqueName="5" name="ISSUER" queryTableFieldId="5" dataDxfId="53"/>
    <tableColumn id="6" xr3:uid="{6BCCA205-E837-408C-ADB2-385E06E74B83}" uniqueName="6" name="CATEGORY" queryTableFieldId="6" dataDxfId="52"/>
    <tableColumn id="7" xr3:uid="{34E74D49-8AA5-4A5A-87E0-6DE65324CC97}" uniqueName="7" name="CURRENCY" queryTableFieldId="7" dataDxfId="51"/>
    <tableColumn id="31" xr3:uid="{14D34D31-CF3B-43DA-9BA8-4FB9ABBCBDA8}" uniqueName="31" name="START_DATE" queryTableFieldId="31" dataDxfId="50"/>
    <tableColumn id="9" xr3:uid="{1ACD75CA-075E-4779-A758-B798FBDB6465}" uniqueName="9" name="MATURITY" queryTableFieldId="9" dataDxfId="49"/>
    <tableColumn id="32" xr3:uid="{3CD038A6-7077-45A5-9A25-24C240495BDC}" uniqueName="32" name="COUPON" queryTableFieldId="32" dataDxfId="48" dataCellStyle="Prozent"/>
    <tableColumn id="10" xr3:uid="{A32AE15C-05DF-4C27-B626-F3A8C8955832}" uniqueName="10" name="Rank" queryTableFieldId="64" dataDxfId="47" dataCellStyle="Prozent"/>
    <tableColumn id="33" xr3:uid="{D6496CA8-0303-4734-BDE6-9B482FAFA50F}" uniqueName="33" name="TENOR" queryTableFieldId="33"/>
    <tableColumn id="12" xr3:uid="{0C84ACF0-1105-418D-9B14-ED8EE01724C1}" uniqueName="12" name="TICKER" queryTableFieldId="12" dataDxfId="46"/>
    <tableColumn id="13" xr3:uid="{702AF1F2-DE5D-4AC7-8A5F-AA57D68FE209}" uniqueName="13" name="INDUSTRY" queryTableFieldId="13" dataDxfId="45"/>
    <tableColumn id="14" xr3:uid="{6A6EDD74-578F-4445-8FE3-BBA9C4B51A9D}" uniqueName="14" name="COUNTRY" queryTableFieldId="14" dataDxfId="44"/>
    <tableColumn id="34" xr3:uid="{337EF45A-FB35-487B-8749-23DC12FD8804}" uniqueName="34" name="CouponType" queryTableFieldId="34" dataDxfId="43"/>
    <tableColumn id="35" xr3:uid="{6DBC709E-651E-40C1-A193-862523664FA1}" uniqueName="35" name="GEARING" queryTableFieldId="35"/>
    <tableColumn id="36" xr3:uid="{31A5D3C8-47A4-43C3-A71A-216F111EB55B}" uniqueName="36" name="INDEX" queryTableFieldId="36" dataDxfId="42"/>
    <tableColumn id="37" xr3:uid="{922AEE53-6BD0-4BC8-B26F-73DEB1339F6C}" uniqueName="37" name="FLOOR" queryTableFieldId="37"/>
    <tableColumn id="38" xr3:uid="{50F60836-4A89-4338-AEAD-515BD4D95C42}" uniqueName="38" name="CAP" queryTableFieldId="38"/>
    <tableColumn id="39" xr3:uid="{0A598CE0-1C0E-4FC0-9996-1A6512ED2EEC}" uniqueName="39" name="SPREADS" queryTableFieldId="39"/>
    <tableColumn id="21" xr3:uid="{6A3764D7-E249-4C28-8DDA-9C42B6FF8230}" uniqueName="21" name="RATING_PROD" queryTableFieldId="21"/>
    <tableColumn id="40" xr3:uid="{23818281-5E3B-42BE-A7EE-15FCBBED8406}" uniqueName="40" name="TermType" queryTableFieldId="40" dataDxfId="41"/>
    <tableColumn id="41" xr3:uid="{F3E9C86F-C6EF-40D8-AED6-6D516DF10EC3}" uniqueName="41" name="INCLUDE_ISSUER" queryTableFieldId="41"/>
    <tableColumn id="24" xr3:uid="{7D85466C-7E4F-44C9-B6DE-7A2E1E0A5DE6}" uniqueName="24" name="RATING" queryTableFieldId="24" dataDxfId="40"/>
    <tableColumn id="42" xr3:uid="{68252244-D490-46B6-A680-AFE1402EE727}" uniqueName="42" name="ESG_RATING" queryTableFieldId="42" dataDxfId="39"/>
    <tableColumn id="1" xr3:uid="{C86FAAA2-BE0B-404A-AC29-8EA467D56108}" uniqueName="1" name="TermSheets" queryTableFieldId="60"/>
    <tableColumn id="26" xr3:uid="{07282CDD-EE08-40F6-81F2-B17361CB4BDE}" uniqueName="26" name="TtM" queryTableFieldId="26" dataDxfId="38">
      <calculatedColumnFormula>(ALL_PROD_RISK3[[#This Row],[MATURITY]]-TODAY())/365</calculatedColumnFormula>
    </tableColumn>
    <tableColumn id="43" xr3:uid="{FB5792F3-3C15-4363-98EF-A465E3E9C133}" uniqueName="43" name="RANK_S" queryTableFieldId="56" dataDxfId="37">
      <calculatedColumnFormula>_xlfn.XLOOKUP(ALL_PROD_RISK3[[#This Row],[Rank]],[1]!RANKtbl[Rank],[1]!RANKtbl[STEPS])</calculatedColumnFormula>
    </tableColumn>
    <tableColumn id="44" xr3:uid="{DA062376-630A-43C6-8034-47766CD5CD21}" uniqueName="44" name="AAA" queryTableFieldId="58" dataDxfId="36">
      <calculatedColumnFormula>IF(ALL_PROD_RISK3[[#This Row],[RATING]]="AAA",-7,)</calculatedColumnFormula>
    </tableColumn>
    <tableColumn id="8" xr3:uid="{2E993172-1541-4B80-83CE-0F2D82C0387A}" uniqueName="8" name="Systemrelevant" queryTableFieldId="62" dataDxfId="35"/>
    <tableColumn id="45" xr3:uid="{34CB4CEF-9B68-4079-90D1-7AEC23BCDCB6}" uniqueName="45" name="BANK" queryTableFieldId="59" dataDxfId="34"/>
    <tableColumn id="4" xr3:uid="{E07BE56B-A40F-4F60-BFE4-C29C2F2D3458}" uniqueName="4" name="HYPO" queryTableFieldId="61" dataDxfId="33"/>
    <tableColumn id="27" xr3:uid="{00BE218C-4043-4DC2-BAEC-BB0487D144FC}" uniqueName="27" name="C_INDEX" queryTableFieldId="27" dataDxfId="32">
      <calculatedColumnFormula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calculatedColumnFormula>
    </tableColumn>
    <tableColumn id="11" xr3:uid="{145D38DF-D399-4046-87BE-C49CE5CD8133}" uniqueName="11" name="BOND_RATING_M" queryTableFieldId="63" dataDxfId="31">
      <calculatedColumnFormula>IF(ALL_PROD_RISK3[[#This Row],[C_INDEX]]&lt;1,"AAA",_xlfn.XLOOKUP(ALL_PROD_RISK3[[#This Row],[C_INDEX]],[1]!CS_RATING[INDEX],[1]!CS_RATING[RATING]))</calculatedColumnFormula>
    </tableColumn>
    <tableColumn id="28" xr3:uid="{6397D5A6-FD95-4829-BF04-6A17E848ACDB}" uniqueName="28" name="C_SPREAD" queryTableFieldId="28" dataDxfId="30">
      <calculatedColumnFormula array="1">_xll.qlInterpolation2DInterpolate([1]CS_Interplation_act!$E$15,ALL_PROD_RISK3[[#This Row],[TtM]],ALL_PROD_RISK3[[#This Row],[C_INDEX]],TRUE,[1]CS_Interplation_act!E15)</calculatedColumnFormula>
    </tableColumn>
  </tableColumns>
  <tableStyleInfo name="TableStyleMedium7 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0738A29-84E3-4F0A-ACF4-477D8B650E22}" name="ALL_PROD_RISK6" displayName="ALL_PROD_RISK6" ref="A1:AJ73" tableType="queryTable" totalsRowShown="0">
  <autoFilter ref="A1:AJ73" xr:uid="{473D7215-8BE6-4CA0-9D30-D98C5B273EB8}"/>
  <tableColumns count="36">
    <tableColumn id="29" xr3:uid="{B180EFE0-7DD8-449A-8997-B358968F2AA3}" uniqueName="29" name="INCLUDE" queryTableFieldId="29"/>
    <tableColumn id="2" xr3:uid="{E8B9F6BA-8193-45DE-BD14-01CA1716F8E9}" uniqueName="2" name="PROD_ID" queryTableFieldId="2"/>
    <tableColumn id="3" xr3:uid="{83DC30FE-DAA0-4B95-99CB-B51D4A671740}" uniqueName="3" name="NAME" queryTableFieldId="3" dataDxfId="29"/>
    <tableColumn id="30" xr3:uid="{4388A9B0-CA10-4D6C-80C1-F0E07F6D906E}" uniqueName="30" name="DESCRIPTION" queryTableFieldId="30" dataDxfId="28"/>
    <tableColumn id="5" xr3:uid="{EFDBAA1E-4500-4BB1-8DEA-9EB02FBE4F12}" uniqueName="5" name="ISSUER" queryTableFieldId="5" dataDxfId="27"/>
    <tableColumn id="6" xr3:uid="{DCB60479-C94F-4643-9E34-5CEF8BD39D06}" uniqueName="6" name="CATEGORY" queryTableFieldId="6" dataDxfId="26"/>
    <tableColumn id="7" xr3:uid="{1BA6ED4C-4A48-4F76-822D-37CBE135E7A2}" uniqueName="7" name="CURRENCY" queryTableFieldId="7" dataDxfId="25"/>
    <tableColumn id="31" xr3:uid="{F14499F6-E7D3-4135-910D-DCD4773A6E65}" uniqueName="31" name="START_DATE" queryTableFieldId="31" dataDxfId="24"/>
    <tableColumn id="9" xr3:uid="{4A133F99-8187-4A0C-8975-7070B65AD45E}" uniqueName="9" name="MATURITY" queryTableFieldId="9" dataDxfId="23"/>
    <tableColumn id="32" xr3:uid="{062A4207-6C14-4305-93D1-7B1FC86D1FB3}" uniqueName="32" name="COUPON" queryTableFieldId="32" dataDxfId="22" dataCellStyle="Prozent"/>
    <tableColumn id="10" xr3:uid="{8B2642FC-F4DF-423F-A5E7-64FB8C6F1FDA}" uniqueName="10" name="Rank" queryTableFieldId="64" dataDxfId="21" dataCellStyle="Prozent"/>
    <tableColumn id="33" xr3:uid="{956B1832-6318-404D-90FB-E6B3FFBDF690}" uniqueName="33" name="TENOR" queryTableFieldId="33"/>
    <tableColumn id="12" xr3:uid="{1871D89A-B9DD-469A-BADE-6F4D9B791F2B}" uniqueName="12" name="TICKER" queryTableFieldId="12" dataDxfId="20"/>
    <tableColumn id="13" xr3:uid="{527CB229-E1F3-4349-A99B-59766A7DF0FC}" uniqueName="13" name="INDUSTRY" queryTableFieldId="13" dataDxfId="19"/>
    <tableColumn id="14" xr3:uid="{A0D6B248-F5FC-46B0-82F0-677C19EF5976}" uniqueName="14" name="COUNTRY" queryTableFieldId="14" dataDxfId="18"/>
    <tableColumn id="34" xr3:uid="{8C6C8195-60FF-4F2D-AA68-F8F68D57F489}" uniqueName="34" name="CouponType" queryTableFieldId="34" dataDxfId="17"/>
    <tableColumn id="35" xr3:uid="{CD0B0948-6164-44F3-B1F5-199D43BD7C23}" uniqueName="35" name="GEARING" queryTableFieldId="35"/>
    <tableColumn id="36" xr3:uid="{4800861F-F240-46DD-978E-39A36D18FE98}" uniqueName="36" name="INDEX" queryTableFieldId="36" dataDxfId="16"/>
    <tableColumn id="37" xr3:uid="{CBB359B5-19C0-442A-8F08-84B786DD2867}" uniqueName="37" name="FLOOR" queryTableFieldId="37"/>
    <tableColumn id="38" xr3:uid="{6DBD1819-2121-4CC8-AD64-3913618BD0EB}" uniqueName="38" name="CAP" queryTableFieldId="38"/>
    <tableColumn id="39" xr3:uid="{D5E7909C-A3A6-4D3A-8B8C-A640472F943C}" uniqueName="39" name="SPREADS" queryTableFieldId="39"/>
    <tableColumn id="21" xr3:uid="{2501CD49-635E-4A1C-810D-D6F18D04BDF0}" uniqueName="21" name="RATING_PROD" queryTableFieldId="21"/>
    <tableColumn id="40" xr3:uid="{49EE8300-047F-4933-B33F-51F572C2173A}" uniqueName="40" name="TermType" queryTableFieldId="40" dataDxfId="15"/>
    <tableColumn id="41" xr3:uid="{EC76C382-4251-4AFC-9D4D-FCA1A719F697}" uniqueName="41" name="INCLUDE_ISSUER" queryTableFieldId="41"/>
    <tableColumn id="24" xr3:uid="{AFC9D3DB-09E8-4A07-AF4D-67CEFB491CB9}" uniqueName="24" name="RATING" queryTableFieldId="24" dataDxfId="14"/>
    <tableColumn id="42" xr3:uid="{005C9C17-9B67-40E8-85C3-C9282A6F17B8}" uniqueName="42" name="ESG_RATING" queryTableFieldId="42" dataDxfId="13"/>
    <tableColumn id="1" xr3:uid="{2954E4B0-FEAB-4B57-BA30-BD71C78B813D}" uniqueName="1" name="TermSheets" queryTableFieldId="60"/>
    <tableColumn id="26" xr3:uid="{30FC55BB-D07D-4C66-ACE8-6F9E2DF7AEE2}" uniqueName="26" name="TtM" queryTableFieldId="26" dataDxfId="12">
      <calculatedColumnFormula>(ALL_PROD_RISK6[[#This Row],[MATURITY]]-TODAY())/365</calculatedColumnFormula>
    </tableColumn>
    <tableColumn id="43" xr3:uid="{ADFB7CCB-DF4E-4A5F-9BF5-5B2092D33513}" uniqueName="43" name="RANK_S" queryTableFieldId="56" dataDxfId="11">
      <calculatedColumnFormula>_xlfn.XLOOKUP(ALL_PROD_RISK6[[#This Row],[Rank]],[1]!RANKtbl[Rank],[1]!RANKtbl[STEPS])</calculatedColumnFormula>
    </tableColumn>
    <tableColumn id="44" xr3:uid="{35052377-2B74-42B3-A109-11D6149BFCCB}" uniqueName="44" name="AAA" queryTableFieldId="58" dataDxfId="10">
      <calculatedColumnFormula>IF(ALL_PROD_RISK6[[#This Row],[RATING]]="AAA",-7,)</calculatedColumnFormula>
    </tableColumn>
    <tableColumn id="8" xr3:uid="{BF4F6764-C509-4EED-9FE8-A3E7503EA24A}" uniqueName="8" name="Systemrelevant" queryTableFieldId="62" dataDxfId="9"/>
    <tableColumn id="45" xr3:uid="{76763316-BC74-42A7-8471-3B5D12C92049}" uniqueName="45" name="BANK" queryTableFieldId="59" dataDxfId="8"/>
    <tableColumn id="4" xr3:uid="{152576C2-D9D8-49D4-89A0-A9A0DE685B2B}" uniqueName="4" name="HYPO" queryTableFieldId="61" dataDxfId="7"/>
    <tableColumn id="27" xr3:uid="{0A243402-0469-4BA8-AC64-67215222E702}" uniqueName="27" name="C_INDEX" queryTableFieldId="27" dataDxfId="6">
      <calculatedColumnFormula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calculatedColumnFormula>
    </tableColumn>
    <tableColumn id="11" xr3:uid="{CBC6D807-28C6-4810-BFA2-D32180C0FE9D}" uniqueName="11" name="BOND_RATING_M" queryTableFieldId="63" dataDxfId="5">
      <calculatedColumnFormula>IF(ALL_PROD_RISK6[[#This Row],[C_INDEX]]&lt;1,"AAA",_xlfn.XLOOKUP(ALL_PROD_RISK6[[#This Row],[C_INDEX]],[1]!CS_RATING[INDEX],[1]!CS_RATING[RATING]))</calculatedColumnFormula>
    </tableColumn>
    <tableColumn id="28" xr3:uid="{82F63C08-D4D9-454B-9953-6D8E47095361}" uniqueName="28" name="C_SPREAD" queryTableFieldId="28" dataDxfId="4">
      <calculatedColumnFormula array="1">_xll.qlInterpolation2DInterpolate([1]CS_Interplation_act!$E$15,ALL_PROD_RISK6[[#This Row],[TtM]],ALL_PROD_RISK6[[#This Row],[C_INDEX]],TRUE,[1]CS_Interplation_act!E15)</calculatedColumnFormula>
    </tableColumn>
  </tableColumns>
  <tableStyleInfo name="TableStyleMedium7 2" showFirstColumn="0" showLastColumn="0" showRowStripes="1" showColumnStripes="0"/>
</table>
</file>

<file path=xl/theme/theme1.xml><?xml version="1.0" encoding="utf-8"?>
<a:theme xmlns:a="http://schemas.openxmlformats.org/drawingml/2006/main" name="Office 2013 – 2022-Design">
  <a:themeElements>
    <a:clrScheme name="Office 2013 –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–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–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customProperty" Target="../customProperty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customProperty" Target="../customProperty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customProperty" Target="../customProperty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customProperty" Target="../customProperty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3.xml"/><Relationship Id="rId1" Type="http://schemas.openxmlformats.org/officeDocument/2006/relationships/customProperty" Target="../customProperty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DC32C-198E-43CD-B6D5-90634A7DDC38}">
  <sheetPr>
    <tabColor rgb="FFFFFF00"/>
  </sheetPr>
  <dimension ref="A1:J32"/>
  <sheetViews>
    <sheetView topLeftCell="A13" workbookViewId="0">
      <selection activeCell="C25" sqref="C24:C25"/>
    </sheetView>
  </sheetViews>
  <sheetFormatPr baseColWidth="10" defaultRowHeight="15" x14ac:dyDescent="0.25"/>
  <cols>
    <col min="2" max="2" width="36.5703125" customWidth="1"/>
    <col min="4" max="4" width="12" customWidth="1"/>
    <col min="6" max="6" width="12.140625" customWidth="1"/>
    <col min="7" max="7" width="14.42578125" customWidth="1"/>
    <col min="8" max="8" width="11.85546875" customWidth="1"/>
    <col min="9" max="9" width="20.5703125" customWidth="1"/>
  </cols>
  <sheetData>
    <row r="1" spans="1:10" x14ac:dyDescent="0.25">
      <c r="A1" t="s">
        <v>0</v>
      </c>
      <c r="B1" t="s">
        <v>10</v>
      </c>
      <c r="C1" t="s">
        <v>17</v>
      </c>
      <c r="D1" t="s">
        <v>154</v>
      </c>
      <c r="E1" t="s">
        <v>29</v>
      </c>
      <c r="F1" t="s">
        <v>155</v>
      </c>
      <c r="G1" t="s">
        <v>27</v>
      </c>
      <c r="H1" t="s">
        <v>156</v>
      </c>
      <c r="I1" t="s">
        <v>157</v>
      </c>
      <c r="J1" t="s">
        <v>158</v>
      </c>
    </row>
    <row r="2" spans="1:10" x14ac:dyDescent="0.25">
      <c r="A2">
        <v>1</v>
      </c>
      <c r="B2" t="s">
        <v>36</v>
      </c>
      <c r="C2" t="s">
        <v>37</v>
      </c>
      <c r="E2" t="s">
        <v>145</v>
      </c>
      <c r="F2" t="s">
        <v>159</v>
      </c>
      <c r="G2" t="s">
        <v>38</v>
      </c>
      <c r="H2" t="s">
        <v>160</v>
      </c>
      <c r="I2" t="s">
        <v>37</v>
      </c>
    </row>
    <row r="3" spans="1:10" x14ac:dyDescent="0.25">
      <c r="A3">
        <v>1</v>
      </c>
      <c r="B3" t="s">
        <v>39</v>
      </c>
      <c r="C3" t="s">
        <v>40</v>
      </c>
      <c r="E3" t="s">
        <v>146</v>
      </c>
      <c r="F3" t="s">
        <v>159</v>
      </c>
      <c r="G3" t="s">
        <v>38</v>
      </c>
      <c r="H3" t="s">
        <v>160</v>
      </c>
      <c r="I3" t="s">
        <v>40</v>
      </c>
    </row>
    <row r="4" spans="1:10" x14ac:dyDescent="0.25">
      <c r="A4">
        <v>1</v>
      </c>
      <c r="B4" t="s">
        <v>41</v>
      </c>
      <c r="C4" t="s">
        <v>41</v>
      </c>
      <c r="E4" t="s">
        <v>146</v>
      </c>
      <c r="F4" t="s">
        <v>159</v>
      </c>
      <c r="G4" t="s">
        <v>38</v>
      </c>
      <c r="H4" t="s">
        <v>160</v>
      </c>
      <c r="I4" t="s">
        <v>41</v>
      </c>
    </row>
    <row r="5" spans="1:10" x14ac:dyDescent="0.25">
      <c r="A5">
        <v>1</v>
      </c>
      <c r="B5" t="s">
        <v>42</v>
      </c>
      <c r="C5" t="s">
        <v>43</v>
      </c>
      <c r="E5" t="s">
        <v>150</v>
      </c>
      <c r="F5" t="s">
        <v>159</v>
      </c>
      <c r="G5" t="s">
        <v>38</v>
      </c>
      <c r="H5" t="s">
        <v>160</v>
      </c>
      <c r="I5" t="s">
        <v>43</v>
      </c>
    </row>
    <row r="6" spans="1:10" x14ac:dyDescent="0.25">
      <c r="A6">
        <v>1</v>
      </c>
      <c r="B6" t="s">
        <v>44</v>
      </c>
      <c r="C6" t="s">
        <v>45</v>
      </c>
      <c r="E6" t="s">
        <v>148</v>
      </c>
      <c r="F6" t="s">
        <v>159</v>
      </c>
      <c r="G6" t="s">
        <v>38</v>
      </c>
      <c r="H6" t="s">
        <v>160</v>
      </c>
      <c r="I6" t="s">
        <v>45</v>
      </c>
    </row>
    <row r="7" spans="1:10" x14ac:dyDescent="0.25">
      <c r="A7">
        <v>1</v>
      </c>
      <c r="B7" t="s">
        <v>78</v>
      </c>
      <c r="C7" t="s">
        <v>79</v>
      </c>
      <c r="E7" t="s">
        <v>150</v>
      </c>
      <c r="F7" t="s">
        <v>159</v>
      </c>
      <c r="G7" t="s">
        <v>38</v>
      </c>
      <c r="H7" t="s">
        <v>160</v>
      </c>
      <c r="I7" t="s">
        <v>79</v>
      </c>
    </row>
    <row r="8" spans="1:10" x14ac:dyDescent="0.25">
      <c r="A8">
        <v>1</v>
      </c>
      <c r="B8" t="s">
        <v>49</v>
      </c>
      <c r="C8" t="s">
        <v>50</v>
      </c>
      <c r="E8" t="s">
        <v>146</v>
      </c>
      <c r="F8" t="s">
        <v>159</v>
      </c>
      <c r="G8" t="s">
        <v>38</v>
      </c>
      <c r="H8" t="s">
        <v>160</v>
      </c>
      <c r="I8" t="s">
        <v>50</v>
      </c>
    </row>
    <row r="9" spans="1:10" x14ac:dyDescent="0.25">
      <c r="A9">
        <v>1</v>
      </c>
      <c r="B9" t="s">
        <v>53</v>
      </c>
      <c r="C9" t="s">
        <v>54</v>
      </c>
      <c r="E9" t="s">
        <v>147</v>
      </c>
      <c r="F9" t="s">
        <v>159</v>
      </c>
      <c r="G9" t="s">
        <v>38</v>
      </c>
      <c r="H9" t="s">
        <v>160</v>
      </c>
      <c r="I9" t="s">
        <v>54</v>
      </c>
    </row>
    <row r="10" spans="1:10" x14ac:dyDescent="0.25">
      <c r="A10">
        <v>1</v>
      </c>
      <c r="B10" t="s">
        <v>62</v>
      </c>
      <c r="C10" t="s">
        <v>63</v>
      </c>
      <c r="E10" t="s">
        <v>146</v>
      </c>
      <c r="F10" t="s">
        <v>159</v>
      </c>
      <c r="G10" t="s">
        <v>38</v>
      </c>
      <c r="H10" t="s">
        <v>160</v>
      </c>
      <c r="I10" t="s">
        <v>63</v>
      </c>
    </row>
    <row r="11" spans="1:10" x14ac:dyDescent="0.25">
      <c r="A11">
        <v>1</v>
      </c>
      <c r="B11" t="s">
        <v>64</v>
      </c>
      <c r="C11" t="s">
        <v>65</v>
      </c>
      <c r="E11" t="s">
        <v>147</v>
      </c>
      <c r="F11" t="s">
        <v>159</v>
      </c>
      <c r="G11" t="s">
        <v>38</v>
      </c>
      <c r="H11" t="s">
        <v>160</v>
      </c>
      <c r="I11" t="s">
        <v>65</v>
      </c>
    </row>
    <row r="12" spans="1:10" x14ac:dyDescent="0.25">
      <c r="A12">
        <v>1</v>
      </c>
      <c r="B12" t="s">
        <v>72</v>
      </c>
      <c r="C12" t="s">
        <v>73</v>
      </c>
      <c r="E12" t="s">
        <v>146</v>
      </c>
      <c r="F12" t="s">
        <v>159</v>
      </c>
      <c r="G12" t="s">
        <v>38</v>
      </c>
      <c r="H12" t="s">
        <v>160</v>
      </c>
      <c r="I12" t="s">
        <v>73</v>
      </c>
    </row>
    <row r="13" spans="1:10" x14ac:dyDescent="0.25">
      <c r="A13">
        <v>1</v>
      </c>
      <c r="B13" t="s">
        <v>141</v>
      </c>
      <c r="C13" t="s">
        <v>141</v>
      </c>
      <c r="E13" t="s">
        <v>145</v>
      </c>
      <c r="F13" t="s">
        <v>159</v>
      </c>
      <c r="G13" t="s">
        <v>38</v>
      </c>
      <c r="H13" t="s">
        <v>160</v>
      </c>
      <c r="I13" t="s">
        <v>141</v>
      </c>
    </row>
    <row r="14" spans="1:10" x14ac:dyDescent="0.25">
      <c r="A14">
        <v>1</v>
      </c>
      <c r="B14" t="s">
        <v>88</v>
      </c>
      <c r="C14" t="s">
        <v>89</v>
      </c>
      <c r="E14" t="s">
        <v>147</v>
      </c>
      <c r="F14" t="s">
        <v>159</v>
      </c>
      <c r="G14" t="s">
        <v>38</v>
      </c>
      <c r="H14" t="s">
        <v>161</v>
      </c>
      <c r="I14" t="s">
        <v>89</v>
      </c>
    </row>
    <row r="15" spans="1:10" x14ac:dyDescent="0.25">
      <c r="A15">
        <v>1</v>
      </c>
      <c r="B15" t="s">
        <v>92</v>
      </c>
      <c r="C15" t="s">
        <v>93</v>
      </c>
      <c r="E15" t="s">
        <v>147</v>
      </c>
      <c r="F15" t="s">
        <v>159</v>
      </c>
      <c r="G15" t="s">
        <v>94</v>
      </c>
      <c r="H15" t="s">
        <v>161</v>
      </c>
      <c r="I15" t="s">
        <v>93</v>
      </c>
    </row>
    <row r="16" spans="1:10" x14ac:dyDescent="0.25">
      <c r="A16">
        <v>1</v>
      </c>
      <c r="B16" t="s">
        <v>82</v>
      </c>
      <c r="C16" t="s">
        <v>83</v>
      </c>
      <c r="E16" t="s">
        <v>151</v>
      </c>
      <c r="F16" t="s">
        <v>159</v>
      </c>
      <c r="G16" t="s">
        <v>38</v>
      </c>
      <c r="H16" t="s">
        <v>161</v>
      </c>
      <c r="I16" t="s">
        <v>83</v>
      </c>
    </row>
    <row r="17" spans="1:9" x14ac:dyDescent="0.25">
      <c r="A17">
        <v>1</v>
      </c>
      <c r="B17" t="s">
        <v>97</v>
      </c>
      <c r="C17" t="s">
        <v>98</v>
      </c>
      <c r="E17" t="s">
        <v>152</v>
      </c>
      <c r="F17" t="s">
        <v>159</v>
      </c>
      <c r="G17" t="s">
        <v>38</v>
      </c>
      <c r="H17" t="s">
        <v>161</v>
      </c>
      <c r="I17" t="s">
        <v>98</v>
      </c>
    </row>
    <row r="18" spans="1:9" x14ac:dyDescent="0.25">
      <c r="A18">
        <v>1</v>
      </c>
      <c r="B18" t="s">
        <v>101</v>
      </c>
      <c r="C18" t="s">
        <v>102</v>
      </c>
      <c r="E18" t="s">
        <v>152</v>
      </c>
      <c r="F18" t="s">
        <v>159</v>
      </c>
      <c r="G18" t="s">
        <v>38</v>
      </c>
      <c r="H18" t="s">
        <v>161</v>
      </c>
      <c r="I18" t="s">
        <v>102</v>
      </c>
    </row>
    <row r="19" spans="1:9" x14ac:dyDescent="0.25">
      <c r="A19">
        <v>1</v>
      </c>
      <c r="B19" t="s">
        <v>105</v>
      </c>
      <c r="C19" t="s">
        <v>106</v>
      </c>
      <c r="E19" t="s">
        <v>147</v>
      </c>
      <c r="F19" t="s">
        <v>159</v>
      </c>
      <c r="G19" t="s">
        <v>38</v>
      </c>
      <c r="H19" t="s">
        <v>161</v>
      </c>
      <c r="I19" t="s">
        <v>106</v>
      </c>
    </row>
    <row r="20" spans="1:9" x14ac:dyDescent="0.25">
      <c r="A20">
        <v>1</v>
      </c>
      <c r="B20" t="s">
        <v>109</v>
      </c>
      <c r="C20" t="s">
        <v>110</v>
      </c>
      <c r="E20" t="s">
        <v>146</v>
      </c>
      <c r="F20" t="s">
        <v>159</v>
      </c>
      <c r="G20" t="s">
        <v>38</v>
      </c>
      <c r="H20" t="s">
        <v>162</v>
      </c>
      <c r="I20" t="s">
        <v>110</v>
      </c>
    </row>
    <row r="21" spans="1:9" x14ac:dyDescent="0.25">
      <c r="A21">
        <v>1</v>
      </c>
      <c r="B21" t="s">
        <v>113</v>
      </c>
      <c r="C21" t="s">
        <v>114</v>
      </c>
      <c r="E21" t="s">
        <v>150</v>
      </c>
      <c r="F21" t="s">
        <v>159</v>
      </c>
      <c r="G21" t="s">
        <v>38</v>
      </c>
      <c r="H21" t="s">
        <v>162</v>
      </c>
      <c r="I21" t="s">
        <v>114</v>
      </c>
    </row>
    <row r="22" spans="1:9" x14ac:dyDescent="0.25">
      <c r="A22">
        <v>1</v>
      </c>
      <c r="B22" t="s">
        <v>68</v>
      </c>
      <c r="C22" t="s">
        <v>69</v>
      </c>
      <c r="E22" t="s">
        <v>149</v>
      </c>
      <c r="F22" t="s">
        <v>159</v>
      </c>
      <c r="G22" t="s">
        <v>38</v>
      </c>
      <c r="H22" t="s">
        <v>160</v>
      </c>
      <c r="I22" t="s">
        <v>69</v>
      </c>
    </row>
    <row r="23" spans="1:9" x14ac:dyDescent="0.25">
      <c r="A23">
        <v>1</v>
      </c>
      <c r="B23" t="s">
        <v>117</v>
      </c>
      <c r="C23" t="s">
        <v>118</v>
      </c>
      <c r="E23" t="s">
        <v>150</v>
      </c>
      <c r="F23" t="s">
        <v>159</v>
      </c>
      <c r="G23" t="s">
        <v>38</v>
      </c>
      <c r="H23" t="s">
        <v>160</v>
      </c>
      <c r="I23" t="s">
        <v>118</v>
      </c>
    </row>
    <row r="24" spans="1:9" x14ac:dyDescent="0.25">
      <c r="A24">
        <v>1</v>
      </c>
      <c r="B24" t="s">
        <v>125</v>
      </c>
      <c r="C24" t="s">
        <v>126</v>
      </c>
      <c r="E24" t="s">
        <v>152</v>
      </c>
      <c r="F24" t="s">
        <v>159</v>
      </c>
      <c r="G24" t="s">
        <v>38</v>
      </c>
      <c r="H24" t="s">
        <v>161</v>
      </c>
      <c r="I24" t="s">
        <v>126</v>
      </c>
    </row>
    <row r="25" spans="1:9" x14ac:dyDescent="0.25">
      <c r="A25">
        <v>1</v>
      </c>
      <c r="B25" t="s">
        <v>70</v>
      </c>
      <c r="C25" t="s">
        <v>71</v>
      </c>
      <c r="E25" t="s">
        <v>150</v>
      </c>
      <c r="F25" t="s">
        <v>159</v>
      </c>
      <c r="G25" t="s">
        <v>38</v>
      </c>
      <c r="H25" t="s">
        <v>163</v>
      </c>
      <c r="I25" t="s">
        <v>71</v>
      </c>
    </row>
    <row r="26" spans="1:9" x14ac:dyDescent="0.25">
      <c r="A26">
        <v>1</v>
      </c>
      <c r="B26" t="s">
        <v>129</v>
      </c>
      <c r="C26" t="s">
        <v>130</v>
      </c>
      <c r="E26" t="s">
        <v>152</v>
      </c>
      <c r="F26" t="s">
        <v>159</v>
      </c>
      <c r="G26" t="s">
        <v>38</v>
      </c>
      <c r="H26" t="s">
        <v>163</v>
      </c>
      <c r="I26" t="s">
        <v>130</v>
      </c>
    </row>
    <row r="27" spans="1:9" x14ac:dyDescent="0.25">
      <c r="A27">
        <v>1</v>
      </c>
      <c r="B27" t="s">
        <v>133</v>
      </c>
      <c r="C27" t="s">
        <v>134</v>
      </c>
      <c r="E27" t="s">
        <v>152</v>
      </c>
      <c r="F27" t="s">
        <v>159</v>
      </c>
      <c r="G27" t="s">
        <v>38</v>
      </c>
      <c r="H27" t="s">
        <v>162</v>
      </c>
      <c r="I27" t="s">
        <v>134</v>
      </c>
    </row>
    <row r="28" spans="1:9" x14ac:dyDescent="0.25">
      <c r="A28">
        <v>1</v>
      </c>
      <c r="B28" t="s">
        <v>142</v>
      </c>
      <c r="C28" t="s">
        <v>143</v>
      </c>
      <c r="E28" t="s">
        <v>153</v>
      </c>
      <c r="F28" t="s">
        <v>159</v>
      </c>
      <c r="G28" t="s">
        <v>38</v>
      </c>
      <c r="H28" t="s">
        <v>160</v>
      </c>
      <c r="I28" t="s">
        <v>143</v>
      </c>
    </row>
    <row r="29" spans="1:9" x14ac:dyDescent="0.25">
      <c r="A29">
        <v>1</v>
      </c>
      <c r="B29" t="s">
        <v>285</v>
      </c>
      <c r="C29" t="s">
        <v>286</v>
      </c>
      <c r="E29" t="s">
        <v>152</v>
      </c>
      <c r="F29" t="s">
        <v>159</v>
      </c>
      <c r="H29" t="s">
        <v>162</v>
      </c>
    </row>
    <row r="30" spans="1:9" x14ac:dyDescent="0.25">
      <c r="A30">
        <v>1</v>
      </c>
      <c r="B30" t="s">
        <v>287</v>
      </c>
      <c r="C30" t="s">
        <v>288</v>
      </c>
      <c r="E30" t="s">
        <v>150</v>
      </c>
      <c r="F30" t="s">
        <v>159</v>
      </c>
      <c r="H30" t="s">
        <v>161</v>
      </c>
    </row>
    <row r="31" spans="1:9" x14ac:dyDescent="0.25">
      <c r="A31">
        <v>1</v>
      </c>
      <c r="B31" t="s">
        <v>289</v>
      </c>
      <c r="C31" t="s">
        <v>289</v>
      </c>
      <c r="E31" t="s">
        <v>149</v>
      </c>
      <c r="F31" t="s">
        <v>159</v>
      </c>
      <c r="G31" t="s">
        <v>38</v>
      </c>
      <c r="H31" t="s">
        <v>161</v>
      </c>
    </row>
    <row r="32" spans="1:9" x14ac:dyDescent="0.25">
      <c r="A32">
        <v>1</v>
      </c>
      <c r="B32" t="s">
        <v>317</v>
      </c>
      <c r="C32" t="s">
        <v>318</v>
      </c>
      <c r="E32" t="s">
        <v>146</v>
      </c>
      <c r="F32" t="s">
        <v>159</v>
      </c>
      <c r="H32" t="s">
        <v>160</v>
      </c>
    </row>
  </sheetData>
  <pageMargins left="0.7" right="0.7" top="0.78740157499999996" bottom="0.78740157499999996" header="0.3" footer="0.3"/>
  <customProperties>
    <customPr name="_pios_id" r:id="rId1"/>
  </customProperties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98D2A2-AE38-418A-9FF8-CB455F511CC5}">
  <sheetPr>
    <tabColor rgb="FFFFFF00"/>
  </sheetPr>
  <dimension ref="A1:AK71"/>
  <sheetViews>
    <sheetView topLeftCell="A43" zoomScaleNormal="100" workbookViewId="0">
      <selection activeCell="L1" sqref="L1"/>
    </sheetView>
  </sheetViews>
  <sheetFormatPr baseColWidth="10" defaultRowHeight="12.75" outlineLevelCol="1" x14ac:dyDescent="0.2"/>
  <cols>
    <col min="1" max="1" width="11.28515625" style="31" bestFit="1" customWidth="1"/>
    <col min="2" max="2" width="14" style="31" bestFit="1" customWidth="1"/>
    <col min="3" max="3" width="35.85546875" style="31" bestFit="1" customWidth="1"/>
    <col min="4" max="4" width="72.42578125" style="31" customWidth="1"/>
    <col min="5" max="5" width="16.85546875" style="31" bestFit="1" customWidth="1"/>
    <col min="6" max="6" width="19.5703125" style="31" bestFit="1" customWidth="1" outlineLevel="1"/>
    <col min="7" max="7" width="12.85546875" style="31" bestFit="1" customWidth="1" outlineLevel="1"/>
    <col min="8" max="8" width="14.28515625" style="40" bestFit="1" customWidth="1" outlineLevel="1"/>
    <col min="9" max="9" width="12.85546875" style="40" bestFit="1" customWidth="1" outlineLevel="1"/>
    <col min="10" max="10" width="11.28515625" style="32" bestFit="1" customWidth="1" outlineLevel="1"/>
    <col min="11" max="11" width="15" style="31" bestFit="1" customWidth="1" outlineLevel="1"/>
    <col min="12" max="12" width="9.42578125" style="31" bestFit="1" customWidth="1" outlineLevel="1"/>
    <col min="13" max="13" width="10" style="31" bestFit="1" customWidth="1" outlineLevel="1"/>
    <col min="14" max="14" width="12.28515625" style="31" bestFit="1" customWidth="1" outlineLevel="1"/>
    <col min="15" max="15" width="12" style="31" bestFit="1" customWidth="1" outlineLevel="1"/>
    <col min="16" max="16" width="14.42578125" style="31" bestFit="1" customWidth="1" outlineLevel="1"/>
    <col min="17" max="17" width="11.5703125" style="31" bestFit="1" customWidth="1" outlineLevel="1"/>
    <col min="18" max="18" width="9.140625" style="31" bestFit="1" customWidth="1" outlineLevel="1"/>
    <col min="19" max="19" width="9.42578125" style="31" bestFit="1" customWidth="1" outlineLevel="1"/>
    <col min="20" max="20" width="7.7109375" style="31" bestFit="1" customWidth="1" outlineLevel="1"/>
    <col min="21" max="21" width="11.42578125" style="31" bestFit="1" customWidth="1" outlineLevel="1"/>
    <col min="22" max="22" width="15.85546875" style="31" bestFit="1" customWidth="1" outlineLevel="1"/>
    <col min="23" max="23" width="12.28515625" style="31" bestFit="1" customWidth="1" outlineLevel="1"/>
    <col min="24" max="24" width="17.7109375" style="31" bestFit="1" customWidth="1"/>
    <col min="25" max="25" width="14.28515625" style="31" bestFit="1" customWidth="1"/>
    <col min="26" max="26" width="28.5703125" style="31" bestFit="1" customWidth="1"/>
    <col min="27" max="27" width="15.28515625" style="39" bestFit="1" customWidth="1"/>
    <col min="28" max="28" width="8.5703125" style="31" bestFit="1" customWidth="1"/>
    <col min="29" max="29" width="7" style="31" bestFit="1" customWidth="1"/>
    <col min="30" max="30" width="10.140625" style="31" bestFit="1" customWidth="1"/>
    <col min="31" max="31" width="14.42578125" style="31" bestFit="1" customWidth="1"/>
    <col min="32" max="32" width="11.140625" style="31" bestFit="1" customWidth="1"/>
    <col min="33" max="33" width="16" style="31" bestFit="1" customWidth="1"/>
    <col min="34" max="34" width="9.140625" style="31" bestFit="1" customWidth="1"/>
    <col min="35" max="35" width="12.85546875" style="31" bestFit="1" customWidth="1"/>
    <col min="36" max="16384" width="11.42578125" style="31"/>
  </cols>
  <sheetData>
    <row r="1" spans="1:37" x14ac:dyDescent="0.2">
      <c r="A1" s="31" t="s">
        <v>0</v>
      </c>
      <c r="B1" s="31" t="s">
        <v>2</v>
      </c>
      <c r="C1" s="31" t="s">
        <v>8</v>
      </c>
      <c r="D1" s="31" t="s">
        <v>9</v>
      </c>
      <c r="E1" s="31" t="s">
        <v>10</v>
      </c>
      <c r="F1" s="31" t="s">
        <v>5</v>
      </c>
      <c r="G1" s="31" t="s">
        <v>11</v>
      </c>
      <c r="H1" s="40" t="s">
        <v>12</v>
      </c>
      <c r="I1" s="40" t="s">
        <v>13</v>
      </c>
      <c r="J1" s="32" t="s">
        <v>14</v>
      </c>
      <c r="K1" s="31" t="s">
        <v>311</v>
      </c>
      <c r="L1" s="31" t="s">
        <v>16</v>
      </c>
      <c r="M1" s="31" t="s">
        <v>17</v>
      </c>
      <c r="N1" s="31" t="s">
        <v>155</v>
      </c>
      <c r="O1" s="31" t="s">
        <v>156</v>
      </c>
      <c r="P1" s="31" t="s">
        <v>18</v>
      </c>
      <c r="Q1" s="31" t="s">
        <v>19</v>
      </c>
      <c r="R1" s="31" t="s">
        <v>20</v>
      </c>
      <c r="S1" s="31" t="s">
        <v>21</v>
      </c>
      <c r="T1" s="31" t="s">
        <v>22</v>
      </c>
      <c r="U1" s="31" t="s">
        <v>23</v>
      </c>
      <c r="V1" s="31" t="s">
        <v>24</v>
      </c>
      <c r="W1" s="31" t="s">
        <v>25</v>
      </c>
      <c r="X1" s="31" t="s">
        <v>26</v>
      </c>
      <c r="Y1" s="31" t="s">
        <v>27</v>
      </c>
      <c r="Z1" s="31" t="s">
        <v>28</v>
      </c>
      <c r="AA1" s="35" t="s">
        <v>310</v>
      </c>
    </row>
    <row r="2" spans="1:37" x14ac:dyDescent="0.2">
      <c r="A2" s="31">
        <v>1</v>
      </c>
      <c r="B2" s="31" t="s">
        <v>319</v>
      </c>
      <c r="C2" s="31" t="s">
        <v>231</v>
      </c>
      <c r="D2" s="31" t="s">
        <v>32</v>
      </c>
      <c r="E2" s="31" t="s">
        <v>36</v>
      </c>
      <c r="F2" s="31" t="s">
        <v>232</v>
      </c>
      <c r="G2" s="31" t="s">
        <v>33</v>
      </c>
      <c r="H2" s="40">
        <v>45317</v>
      </c>
      <c r="I2" s="40">
        <v>45318</v>
      </c>
      <c r="J2" s="32">
        <v>1E-4</v>
      </c>
      <c r="K2" s="36" t="s">
        <v>313</v>
      </c>
      <c r="L2" s="31">
        <v>4</v>
      </c>
      <c r="M2" s="31" t="s">
        <v>37</v>
      </c>
      <c r="N2" s="31" t="s">
        <v>159</v>
      </c>
      <c r="O2" s="31" t="s">
        <v>160</v>
      </c>
      <c r="P2" s="31" t="s">
        <v>34</v>
      </c>
      <c r="W2" s="31" t="s">
        <v>35</v>
      </c>
      <c r="X2" s="31">
        <v>1</v>
      </c>
      <c r="Y2" s="31" t="s">
        <v>38</v>
      </c>
      <c r="Z2" s="31" t="s">
        <v>233</v>
      </c>
      <c r="AA2" s="21"/>
      <c r="AJ2" s="45">
        <v>45283</v>
      </c>
      <c r="AK2" s="45">
        <f ca="1">IF(AJ2&lt;=TODAY(),AJ2+180,AJ2)</f>
        <v>45463</v>
      </c>
    </row>
    <row r="3" spans="1:37" x14ac:dyDescent="0.2">
      <c r="A3" s="31">
        <v>1</v>
      </c>
      <c r="B3" s="31" t="s">
        <v>320</v>
      </c>
      <c r="C3" s="31" t="s">
        <v>234</v>
      </c>
      <c r="D3" s="31" t="s">
        <v>32</v>
      </c>
      <c r="E3" s="31" t="s">
        <v>36</v>
      </c>
      <c r="F3" s="31" t="s">
        <v>232</v>
      </c>
      <c r="G3" s="31" t="s">
        <v>33</v>
      </c>
      <c r="H3" s="40">
        <v>45317</v>
      </c>
      <c r="I3" s="40">
        <v>45318</v>
      </c>
      <c r="J3" s="41">
        <v>1E-4</v>
      </c>
      <c r="K3" s="36" t="s">
        <v>313</v>
      </c>
      <c r="L3" s="31">
        <v>4</v>
      </c>
      <c r="M3" s="31" t="s">
        <v>37</v>
      </c>
      <c r="N3" s="31" t="s">
        <v>159</v>
      </c>
      <c r="O3" s="31" t="s">
        <v>160</v>
      </c>
      <c r="P3" s="31" t="s">
        <v>34</v>
      </c>
      <c r="W3" s="31" t="s">
        <v>35</v>
      </c>
      <c r="X3" s="31">
        <v>1</v>
      </c>
      <c r="Y3" s="31" t="s">
        <v>38</v>
      </c>
      <c r="AA3" s="21"/>
      <c r="AJ3" s="46">
        <v>45283</v>
      </c>
      <c r="AK3" s="45">
        <f t="shared" ref="AK3:AK66" ca="1" si="0">IF(AJ3&lt;=TODAY(),AJ3+180,AJ3)</f>
        <v>45463</v>
      </c>
    </row>
    <row r="4" spans="1:37" x14ac:dyDescent="0.2">
      <c r="A4" s="31">
        <v>1</v>
      </c>
      <c r="B4" s="31" t="s">
        <v>321</v>
      </c>
      <c r="C4" s="31" t="s">
        <v>235</v>
      </c>
      <c r="D4" s="31" t="s">
        <v>32</v>
      </c>
      <c r="E4" s="31" t="s">
        <v>36</v>
      </c>
      <c r="F4" s="31" t="s">
        <v>232</v>
      </c>
      <c r="G4" s="31" t="s">
        <v>33</v>
      </c>
      <c r="H4" s="40">
        <v>45317</v>
      </c>
      <c r="I4" s="40">
        <v>45318</v>
      </c>
      <c r="J4" s="41">
        <v>9.9999999999999995E-8</v>
      </c>
      <c r="K4" s="36" t="s">
        <v>313</v>
      </c>
      <c r="L4" s="31">
        <v>4</v>
      </c>
      <c r="M4" s="31" t="s">
        <v>37</v>
      </c>
      <c r="N4" s="31" t="s">
        <v>159</v>
      </c>
      <c r="O4" s="31" t="s">
        <v>160</v>
      </c>
      <c r="P4" s="31" t="s">
        <v>34</v>
      </c>
      <c r="W4" s="31" t="s">
        <v>35</v>
      </c>
      <c r="X4" s="31">
        <v>1</v>
      </c>
      <c r="Y4" s="31" t="s">
        <v>38</v>
      </c>
      <c r="AA4" s="21"/>
      <c r="AJ4" s="45">
        <v>45283</v>
      </c>
      <c r="AK4" s="45">
        <f t="shared" ca="1" si="0"/>
        <v>45463</v>
      </c>
    </row>
    <row r="5" spans="1:37" x14ac:dyDescent="0.2">
      <c r="A5" s="31">
        <v>1</v>
      </c>
      <c r="B5" s="31" t="s">
        <v>322</v>
      </c>
      <c r="C5" s="31" t="s">
        <v>236</v>
      </c>
      <c r="D5" s="31" t="s">
        <v>32</v>
      </c>
      <c r="E5" s="31" t="s">
        <v>36</v>
      </c>
      <c r="F5" s="31" t="s">
        <v>232</v>
      </c>
      <c r="G5" s="31" t="s">
        <v>33</v>
      </c>
      <c r="H5" s="40">
        <v>45317</v>
      </c>
      <c r="I5" s="40">
        <v>45318</v>
      </c>
      <c r="J5" s="41">
        <v>0</v>
      </c>
      <c r="K5" s="36" t="s">
        <v>313</v>
      </c>
      <c r="L5" s="31">
        <v>4</v>
      </c>
      <c r="M5" s="31" t="s">
        <v>37</v>
      </c>
      <c r="N5" s="31" t="s">
        <v>159</v>
      </c>
      <c r="O5" s="31" t="s">
        <v>160</v>
      </c>
      <c r="P5" s="31" t="s">
        <v>34</v>
      </c>
      <c r="W5" s="31" t="s">
        <v>35</v>
      </c>
      <c r="X5" s="31">
        <v>1</v>
      </c>
      <c r="Y5" s="31" t="s">
        <v>38</v>
      </c>
      <c r="AA5" s="21"/>
      <c r="AJ5" s="46">
        <v>45283</v>
      </c>
      <c r="AK5" s="45">
        <f t="shared" ca="1" si="0"/>
        <v>45463</v>
      </c>
    </row>
    <row r="6" spans="1:37" x14ac:dyDescent="0.2">
      <c r="A6" s="31">
        <v>1</v>
      </c>
      <c r="B6" s="31" t="s">
        <v>323</v>
      </c>
      <c r="C6" s="31" t="s">
        <v>237</v>
      </c>
      <c r="D6" s="31" t="s">
        <v>32</v>
      </c>
      <c r="E6" s="31" t="s">
        <v>39</v>
      </c>
      <c r="F6" s="31" t="s">
        <v>232</v>
      </c>
      <c r="G6" s="31" t="s">
        <v>33</v>
      </c>
      <c r="H6" s="40">
        <v>45317</v>
      </c>
      <c r="I6" s="40">
        <v>45318</v>
      </c>
      <c r="J6" s="41">
        <v>2.0000000000000001E-4</v>
      </c>
      <c r="K6" s="36" t="s">
        <v>313</v>
      </c>
      <c r="L6" s="31">
        <v>4</v>
      </c>
      <c r="M6" s="31" t="s">
        <v>40</v>
      </c>
      <c r="N6" s="31" t="s">
        <v>159</v>
      </c>
      <c r="O6" s="31" t="s">
        <v>160</v>
      </c>
      <c r="P6" s="31" t="s">
        <v>34</v>
      </c>
      <c r="W6" s="31" t="s">
        <v>35</v>
      </c>
      <c r="X6" s="31">
        <v>1</v>
      </c>
      <c r="Y6" s="31" t="s">
        <v>38</v>
      </c>
      <c r="AA6" s="21"/>
      <c r="AJ6" s="45">
        <v>45283</v>
      </c>
      <c r="AK6" s="45">
        <f t="shared" ca="1" si="0"/>
        <v>45463</v>
      </c>
    </row>
    <row r="7" spans="1:37" x14ac:dyDescent="0.2">
      <c r="A7" s="31">
        <v>1</v>
      </c>
      <c r="B7" s="31" t="s">
        <v>188</v>
      </c>
      <c r="C7" s="31" t="s">
        <v>189</v>
      </c>
      <c r="D7" s="31" t="s">
        <v>190</v>
      </c>
      <c r="E7" s="31" t="s">
        <v>39</v>
      </c>
      <c r="F7" s="31" t="s">
        <v>238</v>
      </c>
      <c r="G7" s="31" t="s">
        <v>33</v>
      </c>
      <c r="H7" s="40">
        <v>43082</v>
      </c>
      <c r="I7" s="40">
        <v>45639</v>
      </c>
      <c r="J7" s="41">
        <v>0.02</v>
      </c>
      <c r="K7" s="36" t="s">
        <v>313</v>
      </c>
      <c r="L7" s="31">
        <v>4</v>
      </c>
      <c r="M7" s="31" t="s">
        <v>40</v>
      </c>
      <c r="N7" s="31" t="s">
        <v>159</v>
      </c>
      <c r="O7" s="31" t="s">
        <v>160</v>
      </c>
      <c r="P7" s="31" t="s">
        <v>191</v>
      </c>
      <c r="Q7" s="31">
        <v>1</v>
      </c>
      <c r="R7" s="31" t="s">
        <v>192</v>
      </c>
      <c r="S7" s="31">
        <v>5.0000000000000001E-3</v>
      </c>
      <c r="T7" s="31">
        <v>0.02</v>
      </c>
      <c r="W7" s="31" t="s">
        <v>35</v>
      </c>
      <c r="X7" s="31">
        <v>1</v>
      </c>
      <c r="Y7" s="31" t="s">
        <v>38</v>
      </c>
      <c r="AA7" s="21"/>
      <c r="AJ7" s="46">
        <v>45639</v>
      </c>
      <c r="AK7" s="45">
        <f t="shared" ca="1" si="0"/>
        <v>45639</v>
      </c>
    </row>
    <row r="8" spans="1:37" x14ac:dyDescent="0.2">
      <c r="A8" s="31">
        <v>1</v>
      </c>
      <c r="B8" s="31" t="s">
        <v>257</v>
      </c>
      <c r="C8" s="31" t="s">
        <v>324</v>
      </c>
      <c r="D8" s="31" t="s">
        <v>32</v>
      </c>
      <c r="E8" s="31" t="s">
        <v>39</v>
      </c>
      <c r="F8" s="31" t="s">
        <v>238</v>
      </c>
      <c r="G8" s="31" t="s">
        <v>33</v>
      </c>
      <c r="H8" s="40">
        <v>45259</v>
      </c>
      <c r="I8" s="40">
        <v>46191</v>
      </c>
      <c r="J8" s="41">
        <v>3.7999999999999999E-2</v>
      </c>
      <c r="K8" s="36" t="s">
        <v>313</v>
      </c>
      <c r="L8" s="31">
        <v>2</v>
      </c>
      <c r="M8" s="31" t="s">
        <v>40</v>
      </c>
      <c r="N8" s="31" t="s">
        <v>159</v>
      </c>
      <c r="O8" s="31" t="s">
        <v>160</v>
      </c>
      <c r="P8" s="31" t="s">
        <v>34</v>
      </c>
      <c r="W8" s="31" t="s">
        <v>35</v>
      </c>
      <c r="X8" s="31">
        <v>1</v>
      </c>
      <c r="Y8" s="31" t="s">
        <v>38</v>
      </c>
      <c r="AA8" s="21"/>
      <c r="AJ8" s="45">
        <v>45910</v>
      </c>
      <c r="AK8" s="45">
        <f t="shared" ca="1" si="0"/>
        <v>45910</v>
      </c>
    </row>
    <row r="9" spans="1:37" x14ac:dyDescent="0.2">
      <c r="A9" s="31">
        <v>1</v>
      </c>
      <c r="B9" s="31" t="s">
        <v>193</v>
      </c>
      <c r="C9" s="31" t="s">
        <v>194</v>
      </c>
      <c r="D9" s="31" t="s">
        <v>195</v>
      </c>
      <c r="E9" s="31" t="s">
        <v>39</v>
      </c>
      <c r="F9" s="31" t="s">
        <v>238</v>
      </c>
      <c r="G9" s="31" t="s">
        <v>33</v>
      </c>
      <c r="H9" s="40">
        <v>43349</v>
      </c>
      <c r="I9" s="40">
        <v>45910</v>
      </c>
      <c r="J9" s="41">
        <v>0.03</v>
      </c>
      <c r="K9" s="36" t="s">
        <v>313</v>
      </c>
      <c r="L9" s="31">
        <v>4</v>
      </c>
      <c r="M9" s="31" t="s">
        <v>40</v>
      </c>
      <c r="N9" s="31" t="s">
        <v>159</v>
      </c>
      <c r="O9" s="31" t="s">
        <v>160</v>
      </c>
      <c r="P9" s="31" t="s">
        <v>191</v>
      </c>
      <c r="Q9" s="31">
        <v>1</v>
      </c>
      <c r="R9" s="31" t="s">
        <v>192</v>
      </c>
      <c r="S9" s="31">
        <v>7.4999999999999997E-3</v>
      </c>
      <c r="T9" s="31">
        <v>0.03</v>
      </c>
      <c r="W9" s="31" t="s">
        <v>35</v>
      </c>
      <c r="X9" s="31">
        <v>1</v>
      </c>
      <c r="Y9" s="31" t="s">
        <v>38</v>
      </c>
      <c r="AA9" s="21"/>
      <c r="AJ9" s="46">
        <v>46003</v>
      </c>
      <c r="AK9" s="45">
        <f t="shared" ca="1" si="0"/>
        <v>46003</v>
      </c>
    </row>
    <row r="10" spans="1:37" x14ac:dyDescent="0.2">
      <c r="A10" s="31">
        <v>1</v>
      </c>
      <c r="B10" s="31" t="s">
        <v>242</v>
      </c>
      <c r="C10" s="31" t="s">
        <v>194</v>
      </c>
      <c r="D10" s="31" t="s">
        <v>195</v>
      </c>
      <c r="E10" s="31" t="s">
        <v>39</v>
      </c>
      <c r="F10" s="31" t="s">
        <v>238</v>
      </c>
      <c r="G10" s="31" t="s">
        <v>33</v>
      </c>
      <c r="H10" s="40">
        <v>43433</v>
      </c>
      <c r="I10" s="40">
        <v>46003</v>
      </c>
      <c r="J10" s="41">
        <v>0.03</v>
      </c>
      <c r="K10" s="36" t="s">
        <v>313</v>
      </c>
      <c r="L10" s="31">
        <v>4</v>
      </c>
      <c r="M10" s="31" t="s">
        <v>40</v>
      </c>
      <c r="N10" s="31" t="s">
        <v>159</v>
      </c>
      <c r="O10" s="31" t="s">
        <v>160</v>
      </c>
      <c r="P10" s="31" t="s">
        <v>34</v>
      </c>
      <c r="W10" s="31" t="s">
        <v>35</v>
      </c>
      <c r="X10" s="31">
        <v>1</v>
      </c>
      <c r="Y10" s="31" t="s">
        <v>38</v>
      </c>
      <c r="AA10" s="21"/>
      <c r="AJ10" s="45">
        <v>45283</v>
      </c>
      <c r="AK10" s="45">
        <f t="shared" ca="1" si="0"/>
        <v>45463</v>
      </c>
    </row>
    <row r="11" spans="1:37" x14ac:dyDescent="0.2">
      <c r="A11" s="31">
        <v>1</v>
      </c>
      <c r="B11" s="31" t="s">
        <v>325</v>
      </c>
      <c r="C11" s="31" t="s">
        <v>243</v>
      </c>
      <c r="D11" s="31" t="s">
        <v>32</v>
      </c>
      <c r="E11" s="31" t="s">
        <v>41</v>
      </c>
      <c r="F11" s="31" t="s">
        <v>232</v>
      </c>
      <c r="G11" s="31" t="s">
        <v>33</v>
      </c>
      <c r="H11" s="40">
        <v>45317</v>
      </c>
      <c r="I11" s="40">
        <v>45318</v>
      </c>
      <c r="J11" s="41">
        <v>1.4999999999999999E-2</v>
      </c>
      <c r="K11" s="36" t="s">
        <v>313</v>
      </c>
      <c r="L11" s="31">
        <v>1</v>
      </c>
      <c r="M11" s="31" t="s">
        <v>41</v>
      </c>
      <c r="N11" s="31" t="s">
        <v>159</v>
      </c>
      <c r="O11" s="31" t="s">
        <v>160</v>
      </c>
      <c r="P11" s="31" t="s">
        <v>34</v>
      </c>
      <c r="W11" s="31" t="s">
        <v>35</v>
      </c>
      <c r="X11" s="31">
        <v>1</v>
      </c>
      <c r="Y11" s="31" t="s">
        <v>38</v>
      </c>
      <c r="AA11" s="21"/>
      <c r="AJ11" s="46">
        <v>45283</v>
      </c>
      <c r="AK11" s="45">
        <f t="shared" ca="1" si="0"/>
        <v>45463</v>
      </c>
    </row>
    <row r="12" spans="1:37" x14ac:dyDescent="0.2">
      <c r="A12" s="31">
        <v>1</v>
      </c>
      <c r="B12" s="31" t="s">
        <v>326</v>
      </c>
      <c r="C12" s="31" t="s">
        <v>244</v>
      </c>
      <c r="D12" s="31" t="s">
        <v>32</v>
      </c>
      <c r="E12" s="31" t="s">
        <v>42</v>
      </c>
      <c r="F12" s="31" t="s">
        <v>232</v>
      </c>
      <c r="G12" s="31" t="s">
        <v>33</v>
      </c>
      <c r="H12" s="40">
        <v>45317</v>
      </c>
      <c r="I12" s="40">
        <v>45318</v>
      </c>
      <c r="J12" s="41">
        <v>7.4999999999999997E-3</v>
      </c>
      <c r="K12" s="36" t="s">
        <v>313</v>
      </c>
      <c r="L12" s="31">
        <v>4</v>
      </c>
      <c r="M12" s="31" t="s">
        <v>43</v>
      </c>
      <c r="N12" s="31" t="s">
        <v>159</v>
      </c>
      <c r="O12" s="31" t="s">
        <v>160</v>
      </c>
      <c r="P12" s="31" t="s">
        <v>34</v>
      </c>
      <c r="W12" s="31" t="s">
        <v>35</v>
      </c>
      <c r="X12" s="31">
        <v>1</v>
      </c>
      <c r="Y12" s="31" t="s">
        <v>38</v>
      </c>
      <c r="AA12" s="21"/>
      <c r="AJ12" s="45">
        <v>45283</v>
      </c>
      <c r="AK12" s="45">
        <f t="shared" ca="1" si="0"/>
        <v>45463</v>
      </c>
    </row>
    <row r="13" spans="1:37" x14ac:dyDescent="0.2">
      <c r="A13" s="31">
        <v>1</v>
      </c>
      <c r="B13" s="31" t="s">
        <v>327</v>
      </c>
      <c r="C13" s="31" t="s">
        <v>245</v>
      </c>
      <c r="D13" s="31" t="s">
        <v>32</v>
      </c>
      <c r="E13" s="31" t="s">
        <v>42</v>
      </c>
      <c r="F13" s="31" t="s">
        <v>232</v>
      </c>
      <c r="G13" s="31" t="s">
        <v>33</v>
      </c>
      <c r="H13" s="40">
        <v>45317</v>
      </c>
      <c r="I13" s="40">
        <v>45318</v>
      </c>
      <c r="J13" s="41">
        <v>7.4999999999999997E-3</v>
      </c>
      <c r="K13" s="36" t="s">
        <v>313</v>
      </c>
      <c r="L13" s="31">
        <v>4</v>
      </c>
      <c r="M13" s="31" t="s">
        <v>43</v>
      </c>
      <c r="N13" s="31" t="s">
        <v>159</v>
      </c>
      <c r="O13" s="31" t="s">
        <v>160</v>
      </c>
      <c r="P13" s="31" t="s">
        <v>34</v>
      </c>
      <c r="W13" s="31" t="s">
        <v>35</v>
      </c>
      <c r="X13" s="31">
        <v>1</v>
      </c>
      <c r="Y13" s="31" t="s">
        <v>38</v>
      </c>
      <c r="AA13" s="21"/>
      <c r="AJ13" s="46">
        <v>45283</v>
      </c>
      <c r="AK13" s="45">
        <f t="shared" ca="1" si="0"/>
        <v>45463</v>
      </c>
    </row>
    <row r="14" spans="1:37" x14ac:dyDescent="0.2">
      <c r="A14" s="31">
        <v>1</v>
      </c>
      <c r="B14" s="31" t="s">
        <v>328</v>
      </c>
      <c r="C14" s="31" t="s">
        <v>246</v>
      </c>
      <c r="D14" s="31" t="s">
        <v>32</v>
      </c>
      <c r="E14" s="31" t="s">
        <v>42</v>
      </c>
      <c r="F14" s="31" t="s">
        <v>232</v>
      </c>
      <c r="G14" s="31" t="s">
        <v>33</v>
      </c>
      <c r="H14" s="40">
        <v>45317</v>
      </c>
      <c r="I14" s="40">
        <v>45318</v>
      </c>
      <c r="J14" s="41">
        <v>7.4999999999999997E-3</v>
      </c>
      <c r="K14" s="36" t="s">
        <v>313</v>
      </c>
      <c r="L14" s="31">
        <v>4</v>
      </c>
      <c r="M14" s="31" t="s">
        <v>43</v>
      </c>
      <c r="N14" s="31" t="s">
        <v>159</v>
      </c>
      <c r="O14" s="31" t="s">
        <v>160</v>
      </c>
      <c r="P14" s="31" t="s">
        <v>34</v>
      </c>
      <c r="W14" s="31" t="s">
        <v>35</v>
      </c>
      <c r="X14" s="31">
        <v>1</v>
      </c>
      <c r="Y14" s="31" t="s">
        <v>38</v>
      </c>
      <c r="AA14" s="21"/>
      <c r="AJ14" s="45">
        <v>45283</v>
      </c>
      <c r="AK14" s="45">
        <f t="shared" ca="1" si="0"/>
        <v>45463</v>
      </c>
    </row>
    <row r="15" spans="1:37" x14ac:dyDescent="0.2">
      <c r="A15" s="31">
        <v>1</v>
      </c>
      <c r="B15" s="31" t="s">
        <v>329</v>
      </c>
      <c r="C15" s="31" t="s">
        <v>247</v>
      </c>
      <c r="D15" s="31" t="s">
        <v>32</v>
      </c>
      <c r="E15" s="31" t="s">
        <v>42</v>
      </c>
      <c r="F15" s="31" t="s">
        <v>232</v>
      </c>
      <c r="G15" s="31" t="s">
        <v>33</v>
      </c>
      <c r="H15" s="40">
        <v>45317</v>
      </c>
      <c r="I15" s="40">
        <v>45318</v>
      </c>
      <c r="J15" s="41">
        <v>7.4999999999999997E-3</v>
      </c>
      <c r="K15" s="36" t="s">
        <v>313</v>
      </c>
      <c r="L15" s="31">
        <v>4</v>
      </c>
      <c r="M15" s="31" t="s">
        <v>43</v>
      </c>
      <c r="N15" s="31" t="s">
        <v>159</v>
      </c>
      <c r="O15" s="31" t="s">
        <v>160</v>
      </c>
      <c r="P15" s="31" t="s">
        <v>34</v>
      </c>
      <c r="W15" s="31" t="s">
        <v>35</v>
      </c>
      <c r="X15" s="31">
        <v>1</v>
      </c>
      <c r="Y15" s="31" t="s">
        <v>38</v>
      </c>
      <c r="AA15" s="21"/>
      <c r="AJ15" s="46">
        <v>45283</v>
      </c>
      <c r="AK15" s="45">
        <f t="shared" ca="1" si="0"/>
        <v>45463</v>
      </c>
    </row>
    <row r="16" spans="1:37" x14ac:dyDescent="0.2">
      <c r="A16" s="31">
        <v>1</v>
      </c>
      <c r="B16" s="31" t="s">
        <v>330</v>
      </c>
      <c r="C16" s="31" t="s">
        <v>248</v>
      </c>
      <c r="D16" s="31" t="s">
        <v>32</v>
      </c>
      <c r="E16" s="31" t="s">
        <v>42</v>
      </c>
      <c r="F16" s="31" t="s">
        <v>232</v>
      </c>
      <c r="G16" s="31" t="s">
        <v>33</v>
      </c>
      <c r="H16" s="40">
        <v>45317</v>
      </c>
      <c r="I16" s="40">
        <v>45318</v>
      </c>
      <c r="J16" s="41">
        <v>7.4999999999999997E-3</v>
      </c>
      <c r="K16" s="36" t="s">
        <v>313</v>
      </c>
      <c r="L16" s="31">
        <v>1</v>
      </c>
      <c r="M16" s="31" t="s">
        <v>43</v>
      </c>
      <c r="N16" s="31" t="s">
        <v>159</v>
      </c>
      <c r="O16" s="31" t="s">
        <v>160</v>
      </c>
      <c r="P16" s="31" t="s">
        <v>34</v>
      </c>
      <c r="W16" s="31" t="s">
        <v>35</v>
      </c>
      <c r="X16" s="31">
        <v>1</v>
      </c>
      <c r="Y16" s="31" t="s">
        <v>38</v>
      </c>
      <c r="AA16" s="21"/>
      <c r="AJ16" s="45">
        <v>45800</v>
      </c>
      <c r="AK16" s="45">
        <f t="shared" ca="1" si="0"/>
        <v>45800</v>
      </c>
    </row>
    <row r="17" spans="1:37" x14ac:dyDescent="0.2">
      <c r="A17" s="31">
        <v>1</v>
      </c>
      <c r="B17" s="31" t="s">
        <v>196</v>
      </c>
      <c r="C17" s="31" t="s">
        <v>197</v>
      </c>
      <c r="D17" s="31" t="s">
        <v>198</v>
      </c>
      <c r="E17" s="31" t="s">
        <v>42</v>
      </c>
      <c r="F17" s="31" t="s">
        <v>238</v>
      </c>
      <c r="G17" s="31" t="s">
        <v>33</v>
      </c>
      <c r="H17" s="40">
        <v>43236</v>
      </c>
      <c r="I17" s="40">
        <v>45800</v>
      </c>
      <c r="J17" s="41">
        <v>2.3E-2</v>
      </c>
      <c r="K17" s="36" t="s">
        <v>313</v>
      </c>
      <c r="L17" s="31">
        <v>4</v>
      </c>
      <c r="M17" s="31" t="s">
        <v>43</v>
      </c>
      <c r="N17" s="31" t="s">
        <v>159</v>
      </c>
      <c r="O17" s="31" t="s">
        <v>160</v>
      </c>
      <c r="P17" s="31" t="s">
        <v>191</v>
      </c>
      <c r="Q17" s="31">
        <v>1</v>
      </c>
      <c r="R17" s="31" t="s">
        <v>192</v>
      </c>
      <c r="S17" s="31">
        <v>8.5000000000000006E-3</v>
      </c>
      <c r="T17" s="31">
        <v>2.3E-2</v>
      </c>
      <c r="W17" s="31" t="s">
        <v>35</v>
      </c>
      <c r="X17" s="31">
        <v>1</v>
      </c>
      <c r="Y17" s="31" t="s">
        <v>38</v>
      </c>
      <c r="AA17" s="21"/>
      <c r="AJ17" s="46">
        <v>45283</v>
      </c>
      <c r="AK17" s="45">
        <f t="shared" ca="1" si="0"/>
        <v>45463</v>
      </c>
    </row>
    <row r="18" spans="1:37" x14ac:dyDescent="0.2">
      <c r="A18" s="31">
        <v>1</v>
      </c>
      <c r="B18" s="31" t="s">
        <v>203</v>
      </c>
      <c r="C18" s="31" t="s">
        <v>204</v>
      </c>
      <c r="D18" s="31" t="s">
        <v>205</v>
      </c>
      <c r="E18" s="31" t="s">
        <v>42</v>
      </c>
      <c r="F18" s="31" t="s">
        <v>238</v>
      </c>
      <c r="G18" s="31" t="s">
        <v>33</v>
      </c>
      <c r="H18" s="40">
        <v>43088</v>
      </c>
      <c r="I18" s="40">
        <v>45645</v>
      </c>
      <c r="J18" s="41">
        <v>3.1E-2</v>
      </c>
      <c r="K18" s="36" t="s">
        <v>313</v>
      </c>
      <c r="L18" s="31">
        <v>4</v>
      </c>
      <c r="M18" s="31" t="s">
        <v>43</v>
      </c>
      <c r="N18" s="31" t="s">
        <v>159</v>
      </c>
      <c r="O18" s="31" t="s">
        <v>160</v>
      </c>
      <c r="P18" s="31" t="s">
        <v>191</v>
      </c>
      <c r="Q18" s="31">
        <v>1</v>
      </c>
      <c r="R18" s="31" t="s">
        <v>192</v>
      </c>
      <c r="S18" s="31">
        <v>6.0000000000000001E-3</v>
      </c>
      <c r="T18" s="31">
        <v>3.1E-2</v>
      </c>
      <c r="W18" s="31" t="s">
        <v>35</v>
      </c>
      <c r="X18" s="31">
        <v>1</v>
      </c>
      <c r="Y18" s="31" t="s">
        <v>38</v>
      </c>
      <c r="Z18" s="31" t="s">
        <v>233</v>
      </c>
      <c r="AA18" s="21"/>
      <c r="AJ18" s="45">
        <v>45324</v>
      </c>
      <c r="AK18" s="45">
        <f t="shared" ca="1" si="0"/>
        <v>45504</v>
      </c>
    </row>
    <row r="19" spans="1:37" x14ac:dyDescent="0.2">
      <c r="A19" s="31">
        <v>1</v>
      </c>
      <c r="B19" s="31" t="s">
        <v>331</v>
      </c>
      <c r="C19" s="31" t="s">
        <v>249</v>
      </c>
      <c r="D19" s="31" t="s">
        <v>32</v>
      </c>
      <c r="E19" s="31" t="s">
        <v>44</v>
      </c>
      <c r="F19" s="31" t="s">
        <v>232</v>
      </c>
      <c r="G19" s="31" t="s">
        <v>33</v>
      </c>
      <c r="H19" s="40">
        <v>45317</v>
      </c>
      <c r="I19" s="40">
        <v>45318</v>
      </c>
      <c r="J19" s="41">
        <v>7.4999999999999997E-3</v>
      </c>
      <c r="K19" s="36" t="s">
        <v>313</v>
      </c>
      <c r="L19" s="31">
        <v>4</v>
      </c>
      <c r="M19" s="31" t="s">
        <v>45</v>
      </c>
      <c r="N19" s="31" t="s">
        <v>159</v>
      </c>
      <c r="O19" s="31" t="s">
        <v>160</v>
      </c>
      <c r="P19" s="31" t="s">
        <v>34</v>
      </c>
      <c r="W19" s="31" t="s">
        <v>35</v>
      </c>
      <c r="X19" s="31">
        <v>1</v>
      </c>
      <c r="Y19" s="31" t="s">
        <v>38</v>
      </c>
      <c r="Z19" s="31" t="s">
        <v>251</v>
      </c>
      <c r="AA19" s="21"/>
      <c r="AJ19" s="46">
        <v>45283</v>
      </c>
      <c r="AK19" s="45">
        <f t="shared" ca="1" si="0"/>
        <v>45463</v>
      </c>
    </row>
    <row r="20" spans="1:37" x14ac:dyDescent="0.2">
      <c r="A20" s="31">
        <v>1</v>
      </c>
      <c r="B20" s="31" t="s">
        <v>46</v>
      </c>
      <c r="C20" s="31" t="s">
        <v>47</v>
      </c>
      <c r="D20" s="31" t="s">
        <v>48</v>
      </c>
      <c r="E20" s="31" t="s">
        <v>44</v>
      </c>
      <c r="F20" s="31" t="s">
        <v>238</v>
      </c>
      <c r="G20" s="31" t="s">
        <v>33</v>
      </c>
      <c r="H20" s="40">
        <v>43158</v>
      </c>
      <c r="I20" s="40">
        <v>45324</v>
      </c>
      <c r="J20" s="41">
        <v>0.01</v>
      </c>
      <c r="K20" s="36" t="s">
        <v>313</v>
      </c>
      <c r="L20" s="31">
        <v>1</v>
      </c>
      <c r="M20" s="31" t="s">
        <v>45</v>
      </c>
      <c r="N20" s="31" t="s">
        <v>159</v>
      </c>
      <c r="O20" s="31" t="s">
        <v>160</v>
      </c>
      <c r="P20" s="31" t="s">
        <v>34</v>
      </c>
      <c r="W20" s="31" t="s">
        <v>212</v>
      </c>
      <c r="X20" s="31">
        <v>1</v>
      </c>
      <c r="Y20" s="31" t="s">
        <v>38</v>
      </c>
      <c r="AA20" s="21"/>
      <c r="AJ20" s="45">
        <v>45283</v>
      </c>
      <c r="AK20" s="45">
        <f t="shared" ca="1" si="0"/>
        <v>45463</v>
      </c>
    </row>
    <row r="21" spans="1:37" x14ac:dyDescent="0.2">
      <c r="A21" s="31">
        <v>1</v>
      </c>
      <c r="B21" s="31" t="s">
        <v>332</v>
      </c>
      <c r="C21" s="31" t="s">
        <v>250</v>
      </c>
      <c r="D21" s="31" t="s">
        <v>32</v>
      </c>
      <c r="E21" s="31" t="s">
        <v>49</v>
      </c>
      <c r="F21" s="31" t="s">
        <v>232</v>
      </c>
      <c r="G21" s="31" t="s">
        <v>33</v>
      </c>
      <c r="H21" s="40">
        <v>45317</v>
      </c>
      <c r="I21" s="40">
        <v>45318</v>
      </c>
      <c r="J21" s="41">
        <v>2.5000000000000001E-3</v>
      </c>
      <c r="K21" s="36" t="s">
        <v>313</v>
      </c>
      <c r="L21" s="31">
        <v>4</v>
      </c>
      <c r="M21" s="31" t="s">
        <v>50</v>
      </c>
      <c r="N21" s="31" t="s">
        <v>159</v>
      </c>
      <c r="O21" s="31" t="s">
        <v>160</v>
      </c>
      <c r="P21" s="31" t="s">
        <v>34</v>
      </c>
      <c r="W21" s="31" t="s">
        <v>35</v>
      </c>
      <c r="X21" s="31">
        <v>1</v>
      </c>
      <c r="Y21" s="31" t="s">
        <v>38</v>
      </c>
      <c r="AA21" s="21"/>
      <c r="AJ21" s="46">
        <v>45272</v>
      </c>
      <c r="AK21" s="45">
        <f t="shared" ca="1" si="0"/>
        <v>45452</v>
      </c>
    </row>
    <row r="22" spans="1:37" x14ac:dyDescent="0.2">
      <c r="A22" s="31">
        <v>1</v>
      </c>
      <c r="B22" s="31" t="s">
        <v>333</v>
      </c>
      <c r="C22" s="31" t="s">
        <v>252</v>
      </c>
      <c r="D22" s="31" t="s">
        <v>32</v>
      </c>
      <c r="E22" s="31" t="s">
        <v>49</v>
      </c>
      <c r="F22" s="31" t="s">
        <v>232</v>
      </c>
      <c r="G22" s="31" t="s">
        <v>33</v>
      </c>
      <c r="H22" s="40">
        <v>45317</v>
      </c>
      <c r="I22" s="40">
        <v>45318</v>
      </c>
      <c r="J22" s="41">
        <v>0.01</v>
      </c>
      <c r="K22" s="36" t="s">
        <v>313</v>
      </c>
      <c r="L22" s="31">
        <v>4</v>
      </c>
      <c r="M22" s="31" t="s">
        <v>50</v>
      </c>
      <c r="N22" s="31" t="s">
        <v>159</v>
      </c>
      <c r="O22" s="31" t="s">
        <v>160</v>
      </c>
      <c r="P22" s="31" t="s">
        <v>34</v>
      </c>
      <c r="W22" s="31" t="s">
        <v>35</v>
      </c>
      <c r="X22" s="31">
        <v>1</v>
      </c>
      <c r="Y22" s="31" t="s">
        <v>38</v>
      </c>
      <c r="AA22" s="21"/>
      <c r="AJ22" s="45">
        <v>46386</v>
      </c>
      <c r="AK22" s="45">
        <f t="shared" ca="1" si="0"/>
        <v>46386</v>
      </c>
    </row>
    <row r="23" spans="1:37" x14ac:dyDescent="0.2">
      <c r="A23" s="31">
        <v>1</v>
      </c>
      <c r="B23" s="31" t="s">
        <v>51</v>
      </c>
      <c r="C23" s="31" t="s">
        <v>52</v>
      </c>
      <c r="D23" s="31" t="s">
        <v>32</v>
      </c>
      <c r="E23" s="31" t="s">
        <v>49</v>
      </c>
      <c r="F23" s="31" t="s">
        <v>238</v>
      </c>
      <c r="G23" s="31" t="s">
        <v>33</v>
      </c>
      <c r="H23" s="40">
        <v>44470</v>
      </c>
      <c r="I23" s="40">
        <v>46386</v>
      </c>
      <c r="J23" s="41">
        <v>1.0000000000000002E-6</v>
      </c>
      <c r="K23" s="36" t="s">
        <v>313</v>
      </c>
      <c r="L23" s="31">
        <v>1</v>
      </c>
      <c r="M23" s="31" t="s">
        <v>50</v>
      </c>
      <c r="N23" s="31" t="s">
        <v>159</v>
      </c>
      <c r="O23" s="31" t="s">
        <v>160</v>
      </c>
      <c r="P23" s="31" t="s">
        <v>34</v>
      </c>
      <c r="W23" s="31" t="s">
        <v>35</v>
      </c>
      <c r="X23" s="31">
        <v>1</v>
      </c>
      <c r="Y23" s="31" t="s">
        <v>38</v>
      </c>
      <c r="AA23" s="21"/>
      <c r="AJ23" s="46">
        <v>45272</v>
      </c>
      <c r="AK23" s="45">
        <f t="shared" ca="1" si="0"/>
        <v>45452</v>
      </c>
    </row>
    <row r="24" spans="1:37" x14ac:dyDescent="0.2">
      <c r="A24" s="31">
        <v>1</v>
      </c>
      <c r="B24" s="31" t="s">
        <v>255</v>
      </c>
      <c r="C24" s="31" t="s">
        <v>256</v>
      </c>
      <c r="D24" s="31" t="s">
        <v>32</v>
      </c>
      <c r="E24" s="31" t="s">
        <v>49</v>
      </c>
      <c r="F24" s="31" t="s">
        <v>238</v>
      </c>
      <c r="G24" s="31" t="s">
        <v>33</v>
      </c>
      <c r="H24" s="40">
        <v>41121</v>
      </c>
      <c r="I24" s="40">
        <v>45638</v>
      </c>
      <c r="J24" s="41">
        <v>0</v>
      </c>
      <c r="K24" s="36" t="s">
        <v>313</v>
      </c>
      <c r="L24" s="31">
        <v>1</v>
      </c>
      <c r="M24" s="31" t="s">
        <v>50</v>
      </c>
      <c r="N24" s="31" t="s">
        <v>159</v>
      </c>
      <c r="O24" s="31" t="s">
        <v>160</v>
      </c>
      <c r="P24" s="31" t="s">
        <v>34</v>
      </c>
      <c r="W24" s="31" t="s">
        <v>35</v>
      </c>
      <c r="X24" s="31">
        <v>1</v>
      </c>
      <c r="Y24" s="31" t="s">
        <v>38</v>
      </c>
      <c r="AA24" s="21"/>
      <c r="AJ24" s="45">
        <v>45264</v>
      </c>
      <c r="AK24" s="45">
        <f t="shared" ca="1" si="0"/>
        <v>45444</v>
      </c>
    </row>
    <row r="25" spans="1:37" x14ac:dyDescent="0.2">
      <c r="A25" s="31">
        <v>1</v>
      </c>
      <c r="B25" s="31" t="s">
        <v>74</v>
      </c>
      <c r="C25" s="31" t="s">
        <v>75</v>
      </c>
      <c r="D25" s="31" t="s">
        <v>32</v>
      </c>
      <c r="E25" s="31" t="s">
        <v>49</v>
      </c>
      <c r="F25" s="31" t="s">
        <v>238</v>
      </c>
      <c r="G25" s="31" t="s">
        <v>33</v>
      </c>
      <c r="H25" s="40">
        <v>44551</v>
      </c>
      <c r="I25" s="40">
        <v>46363</v>
      </c>
      <c r="J25" s="41">
        <v>1.2999999999999999E-3</v>
      </c>
      <c r="K25" s="36" t="s">
        <v>313</v>
      </c>
      <c r="L25" s="31">
        <v>1</v>
      </c>
      <c r="M25" s="31" t="s">
        <v>50</v>
      </c>
      <c r="N25" s="31" t="s">
        <v>159</v>
      </c>
      <c r="O25" s="31" t="s">
        <v>160</v>
      </c>
      <c r="P25" s="31" t="s">
        <v>34</v>
      </c>
      <c r="W25" s="31" t="s">
        <v>35</v>
      </c>
      <c r="X25" s="31">
        <v>1</v>
      </c>
      <c r="Y25" s="31" t="s">
        <v>38</v>
      </c>
      <c r="AA25" s="21"/>
      <c r="AJ25" s="46">
        <v>45679</v>
      </c>
      <c r="AK25" s="45">
        <f t="shared" ca="1" si="0"/>
        <v>45679</v>
      </c>
    </row>
    <row r="26" spans="1:37" x14ac:dyDescent="0.2">
      <c r="A26" s="31">
        <v>1</v>
      </c>
      <c r="B26" s="31" t="s">
        <v>55</v>
      </c>
      <c r="C26" s="31" t="s">
        <v>56</v>
      </c>
      <c r="D26" s="31" t="s">
        <v>32</v>
      </c>
      <c r="E26" s="31" t="s">
        <v>53</v>
      </c>
      <c r="F26" s="31" t="s">
        <v>238</v>
      </c>
      <c r="G26" s="31" t="s">
        <v>33</v>
      </c>
      <c r="H26" s="40">
        <v>43916</v>
      </c>
      <c r="I26" s="40">
        <v>45679</v>
      </c>
      <c r="J26" s="41">
        <v>2.5000000000000001E-3</v>
      </c>
      <c r="K26" s="36" t="s">
        <v>313</v>
      </c>
      <c r="L26" s="31">
        <v>1</v>
      </c>
      <c r="M26" s="31" t="s">
        <v>54</v>
      </c>
      <c r="N26" s="31" t="s">
        <v>159</v>
      </c>
      <c r="O26" s="31" t="s">
        <v>160</v>
      </c>
      <c r="P26" s="31" t="s">
        <v>34</v>
      </c>
      <c r="W26" s="31" t="s">
        <v>35</v>
      </c>
      <c r="X26" s="31">
        <v>1</v>
      </c>
      <c r="Y26" s="31" t="s">
        <v>38</v>
      </c>
      <c r="AA26" s="21"/>
      <c r="AJ26" s="45">
        <v>46290</v>
      </c>
      <c r="AK26" s="45">
        <f t="shared" ca="1" si="0"/>
        <v>46290</v>
      </c>
    </row>
    <row r="27" spans="1:37" x14ac:dyDescent="0.2">
      <c r="A27" s="31">
        <v>1</v>
      </c>
      <c r="B27" s="31" t="s">
        <v>57</v>
      </c>
      <c r="C27" s="31" t="s">
        <v>58</v>
      </c>
      <c r="D27" s="31" t="s">
        <v>32</v>
      </c>
      <c r="E27" s="31" t="s">
        <v>53</v>
      </c>
      <c r="F27" s="31" t="s">
        <v>238</v>
      </c>
      <c r="G27" s="31" t="s">
        <v>33</v>
      </c>
      <c r="H27" s="40">
        <v>43798</v>
      </c>
      <c r="I27" s="40">
        <v>46290</v>
      </c>
      <c r="J27" s="41">
        <v>3.7499999999999999E-3</v>
      </c>
      <c r="K27" s="36" t="s">
        <v>313</v>
      </c>
      <c r="L27" s="31">
        <v>1</v>
      </c>
      <c r="M27" s="31" t="s">
        <v>54</v>
      </c>
      <c r="N27" s="31" t="s">
        <v>159</v>
      </c>
      <c r="O27" s="31" t="s">
        <v>160</v>
      </c>
      <c r="P27" s="31" t="s">
        <v>34</v>
      </c>
      <c r="W27" s="31" t="s">
        <v>35</v>
      </c>
      <c r="X27" s="31">
        <v>1</v>
      </c>
      <c r="Y27" s="31" t="s">
        <v>38</v>
      </c>
      <c r="AA27" s="21"/>
      <c r="AJ27" s="46">
        <v>45793</v>
      </c>
      <c r="AK27" s="45">
        <f t="shared" ca="1" si="0"/>
        <v>45793</v>
      </c>
    </row>
    <row r="28" spans="1:37" x14ac:dyDescent="0.2">
      <c r="A28" s="31">
        <v>1</v>
      </c>
      <c r="B28" s="31" t="s">
        <v>59</v>
      </c>
      <c r="C28" s="31" t="s">
        <v>60</v>
      </c>
      <c r="D28" s="31" t="s">
        <v>32</v>
      </c>
      <c r="E28" s="31" t="s">
        <v>62</v>
      </c>
      <c r="F28" s="31" t="s">
        <v>238</v>
      </c>
      <c r="G28" s="31" t="s">
        <v>33</v>
      </c>
      <c r="H28" s="40">
        <v>43229</v>
      </c>
      <c r="I28" s="40">
        <v>45793</v>
      </c>
      <c r="J28" s="41">
        <v>6.2500000000000003E-3</v>
      </c>
      <c r="K28" s="36" t="s">
        <v>313</v>
      </c>
      <c r="L28" s="31">
        <v>1</v>
      </c>
      <c r="M28" s="31" t="s">
        <v>63</v>
      </c>
      <c r="N28" s="31" t="s">
        <v>159</v>
      </c>
      <c r="O28" s="31" t="s">
        <v>160</v>
      </c>
      <c r="P28" s="31" t="s">
        <v>191</v>
      </c>
      <c r="Q28" s="31">
        <v>1</v>
      </c>
      <c r="R28" s="31" t="s">
        <v>192</v>
      </c>
      <c r="S28" s="31">
        <v>8.5000000000000006E-3</v>
      </c>
      <c r="T28" s="31">
        <v>2.3E-2</v>
      </c>
      <c r="W28" s="31" t="s">
        <v>35</v>
      </c>
      <c r="X28" s="31">
        <v>1</v>
      </c>
      <c r="Y28" s="31" t="s">
        <v>38</v>
      </c>
      <c r="AA28" s="21"/>
      <c r="AJ28" s="45">
        <v>46010</v>
      </c>
      <c r="AK28" s="45">
        <f t="shared" ca="1" si="0"/>
        <v>46010</v>
      </c>
    </row>
    <row r="29" spans="1:37" x14ac:dyDescent="0.2">
      <c r="A29" s="31">
        <v>1</v>
      </c>
      <c r="B29" s="31" t="s">
        <v>199</v>
      </c>
      <c r="C29" s="31" t="s">
        <v>200</v>
      </c>
      <c r="D29" s="31" t="s">
        <v>201</v>
      </c>
      <c r="E29" s="31" t="s">
        <v>64</v>
      </c>
      <c r="F29" s="31" t="s">
        <v>238</v>
      </c>
      <c r="G29" s="31" t="s">
        <v>33</v>
      </c>
      <c r="H29" s="40">
        <v>43445</v>
      </c>
      <c r="I29" s="40">
        <v>46010</v>
      </c>
      <c r="J29" s="41">
        <v>3.193E-2</v>
      </c>
      <c r="K29" s="36" t="s">
        <v>313</v>
      </c>
      <c r="L29" s="31">
        <v>2</v>
      </c>
      <c r="M29" s="31" t="s">
        <v>65</v>
      </c>
      <c r="N29" s="31" t="s">
        <v>159</v>
      </c>
      <c r="O29" s="31" t="s">
        <v>160</v>
      </c>
      <c r="P29" s="31" t="s">
        <v>191</v>
      </c>
      <c r="Q29" s="31">
        <v>1</v>
      </c>
      <c r="R29" s="31" t="s">
        <v>202</v>
      </c>
      <c r="S29" s="31">
        <v>7.4999999999999997E-3</v>
      </c>
      <c r="T29" s="31">
        <v>3.2500000000000001E-2</v>
      </c>
      <c r="U29" s="31">
        <v>5.0000000000000001E-3</v>
      </c>
      <c r="W29" s="31" t="s">
        <v>35</v>
      </c>
      <c r="X29" s="31">
        <v>1</v>
      </c>
      <c r="Y29" s="31" t="s">
        <v>38</v>
      </c>
      <c r="AA29" s="21"/>
      <c r="AJ29" s="46">
        <v>45646</v>
      </c>
      <c r="AK29" s="45">
        <f t="shared" ca="1" si="0"/>
        <v>45646</v>
      </c>
    </row>
    <row r="30" spans="1:37" x14ac:dyDescent="0.2">
      <c r="A30" s="31">
        <v>1</v>
      </c>
      <c r="B30" s="31" t="s">
        <v>66</v>
      </c>
      <c r="C30" s="31" t="s">
        <v>67</v>
      </c>
      <c r="D30" s="31" t="s">
        <v>32</v>
      </c>
      <c r="E30" s="31" t="s">
        <v>64</v>
      </c>
      <c r="F30" s="31" t="s">
        <v>238</v>
      </c>
      <c r="G30" s="31" t="s">
        <v>33</v>
      </c>
      <c r="H30" s="40">
        <v>43812</v>
      </c>
      <c r="I30" s="40">
        <v>45646</v>
      </c>
      <c r="J30" s="41">
        <v>4.4999999999999997E-3</v>
      </c>
      <c r="K30" s="36" t="s">
        <v>313</v>
      </c>
      <c r="L30" s="31">
        <v>1</v>
      </c>
      <c r="M30" s="31" t="s">
        <v>65</v>
      </c>
      <c r="N30" s="31" t="s">
        <v>159</v>
      </c>
      <c r="O30" s="31" t="s">
        <v>160</v>
      </c>
      <c r="P30" s="31" t="s">
        <v>34</v>
      </c>
      <c r="W30" s="31" t="s">
        <v>35</v>
      </c>
      <c r="X30" s="31">
        <v>1</v>
      </c>
      <c r="Y30" s="31" t="s">
        <v>38</v>
      </c>
      <c r="AA30" s="21"/>
      <c r="AJ30" s="45">
        <v>45283</v>
      </c>
      <c r="AK30" s="45">
        <f t="shared" ca="1" si="0"/>
        <v>45463</v>
      </c>
    </row>
    <row r="31" spans="1:37" x14ac:dyDescent="0.2">
      <c r="A31" s="31">
        <v>1</v>
      </c>
      <c r="B31" s="31" t="s">
        <v>334</v>
      </c>
      <c r="C31" s="31" t="s">
        <v>259</v>
      </c>
      <c r="D31" s="31" t="s">
        <v>32</v>
      </c>
      <c r="E31" s="31" t="s">
        <v>68</v>
      </c>
      <c r="F31" s="31" t="s">
        <v>232</v>
      </c>
      <c r="G31" s="31" t="s">
        <v>33</v>
      </c>
      <c r="H31" s="40">
        <v>45317</v>
      </c>
      <c r="I31" s="40">
        <v>45318</v>
      </c>
      <c r="J31" s="41">
        <v>0</v>
      </c>
      <c r="K31" s="36" t="s">
        <v>313</v>
      </c>
      <c r="L31" s="31">
        <v>4</v>
      </c>
      <c r="M31" s="31" t="s">
        <v>69</v>
      </c>
      <c r="N31" s="31" t="s">
        <v>159</v>
      </c>
      <c r="O31" s="31" t="s">
        <v>160</v>
      </c>
      <c r="P31" s="31" t="s">
        <v>34</v>
      </c>
      <c r="W31" s="31" t="s">
        <v>35</v>
      </c>
      <c r="X31" s="31">
        <v>1</v>
      </c>
      <c r="Y31" s="31" t="s">
        <v>38</v>
      </c>
      <c r="AA31" s="21"/>
      <c r="AJ31" s="46">
        <v>45283</v>
      </c>
      <c r="AK31" s="45">
        <f t="shared" ca="1" si="0"/>
        <v>45463</v>
      </c>
    </row>
    <row r="32" spans="1:37" x14ac:dyDescent="0.2">
      <c r="A32" s="31">
        <v>1</v>
      </c>
      <c r="B32" s="31" t="s">
        <v>206</v>
      </c>
      <c r="C32" s="31" t="s">
        <v>207</v>
      </c>
      <c r="D32" s="31" t="s">
        <v>261</v>
      </c>
      <c r="E32" s="31" t="s">
        <v>72</v>
      </c>
      <c r="F32" s="31" t="s">
        <v>238</v>
      </c>
      <c r="G32" s="31" t="s">
        <v>33</v>
      </c>
      <c r="H32" s="40">
        <v>43817</v>
      </c>
      <c r="I32" s="40">
        <v>46018</v>
      </c>
      <c r="J32" s="41">
        <v>2.8320000000000001E-2</v>
      </c>
      <c r="K32" s="36" t="s">
        <v>313</v>
      </c>
      <c r="L32" s="31">
        <v>1</v>
      </c>
      <c r="M32" s="31" t="s">
        <v>73</v>
      </c>
      <c r="N32" s="31" t="s">
        <v>159</v>
      </c>
      <c r="O32" s="31" t="s">
        <v>160</v>
      </c>
      <c r="P32" s="31" t="s">
        <v>191</v>
      </c>
      <c r="Q32" s="31">
        <v>1</v>
      </c>
      <c r="R32" s="31" t="s">
        <v>192</v>
      </c>
      <c r="S32" s="31">
        <v>0</v>
      </c>
      <c r="T32" s="31">
        <v>1</v>
      </c>
      <c r="U32" s="31">
        <v>7.0000000000000001E-3</v>
      </c>
      <c r="W32" s="31" t="s">
        <v>35</v>
      </c>
      <c r="X32" s="31">
        <v>1</v>
      </c>
      <c r="Y32" s="31" t="s">
        <v>38</v>
      </c>
      <c r="AA32" s="21"/>
      <c r="AJ32" s="45">
        <v>45645</v>
      </c>
      <c r="AK32" s="45">
        <f t="shared" ca="1" si="0"/>
        <v>45645</v>
      </c>
    </row>
    <row r="33" spans="1:37" x14ac:dyDescent="0.2">
      <c r="A33" s="31">
        <v>1</v>
      </c>
      <c r="B33" s="31" t="s">
        <v>335</v>
      </c>
      <c r="C33" s="31" t="s">
        <v>260</v>
      </c>
      <c r="D33" s="31" t="s">
        <v>32</v>
      </c>
      <c r="E33" s="31" t="s">
        <v>36</v>
      </c>
      <c r="F33" s="31" t="s">
        <v>232</v>
      </c>
      <c r="G33" s="31" t="s">
        <v>33</v>
      </c>
      <c r="H33" s="40">
        <v>45317</v>
      </c>
      <c r="I33" s="40">
        <v>45318</v>
      </c>
      <c r="J33" s="41">
        <v>0</v>
      </c>
      <c r="K33" s="36" t="s">
        <v>313</v>
      </c>
      <c r="L33" s="31">
        <v>4</v>
      </c>
      <c r="M33" s="31" t="s">
        <v>37</v>
      </c>
      <c r="N33" s="31" t="s">
        <v>159</v>
      </c>
      <c r="O33" s="31" t="s">
        <v>160</v>
      </c>
      <c r="P33" s="31" t="s">
        <v>34</v>
      </c>
      <c r="W33" s="31" t="s">
        <v>35</v>
      </c>
      <c r="X33" s="31">
        <v>1</v>
      </c>
      <c r="Y33" s="31" t="s">
        <v>38</v>
      </c>
      <c r="AA33" s="21"/>
      <c r="AJ33" s="46">
        <v>46018</v>
      </c>
      <c r="AK33" s="45">
        <f t="shared" ca="1" si="0"/>
        <v>46018</v>
      </c>
    </row>
    <row r="34" spans="1:37" x14ac:dyDescent="0.2">
      <c r="A34" s="31">
        <v>1</v>
      </c>
      <c r="B34" s="31" t="s">
        <v>76</v>
      </c>
      <c r="C34" s="31" t="s">
        <v>77</v>
      </c>
      <c r="D34" s="31" t="s">
        <v>32</v>
      </c>
      <c r="E34" s="31" t="s">
        <v>78</v>
      </c>
      <c r="F34" s="31" t="s">
        <v>238</v>
      </c>
      <c r="G34" s="31" t="s">
        <v>33</v>
      </c>
      <c r="H34" s="40">
        <v>44610</v>
      </c>
      <c r="I34" s="40">
        <v>46104</v>
      </c>
      <c r="J34" s="41">
        <v>8.7500000000000008E-3</v>
      </c>
      <c r="K34" s="36" t="s">
        <v>313</v>
      </c>
      <c r="L34" s="31">
        <v>1</v>
      </c>
      <c r="M34" s="31" t="s">
        <v>79</v>
      </c>
      <c r="N34" s="31" t="s">
        <v>159</v>
      </c>
      <c r="O34" s="31" t="s">
        <v>160</v>
      </c>
      <c r="P34" s="31" t="s">
        <v>34</v>
      </c>
      <c r="W34" s="31" t="s">
        <v>35</v>
      </c>
      <c r="X34" s="31">
        <v>1</v>
      </c>
      <c r="Y34" s="31" t="s">
        <v>38</v>
      </c>
      <c r="AA34" s="21"/>
      <c r="AJ34" s="45">
        <v>46363</v>
      </c>
      <c r="AK34" s="45">
        <f t="shared" ca="1" si="0"/>
        <v>46363</v>
      </c>
    </row>
    <row r="35" spans="1:37" x14ac:dyDescent="0.2">
      <c r="A35" s="31">
        <v>1</v>
      </c>
      <c r="B35" s="31" t="s">
        <v>80</v>
      </c>
      <c r="C35" s="31" t="s">
        <v>81</v>
      </c>
      <c r="D35" s="31" t="s">
        <v>32</v>
      </c>
      <c r="E35" s="31" t="s">
        <v>82</v>
      </c>
      <c r="F35" s="31" t="s">
        <v>238</v>
      </c>
      <c r="G35" s="31" t="s">
        <v>33</v>
      </c>
      <c r="H35" s="40">
        <v>44613</v>
      </c>
      <c r="I35" s="40">
        <v>46436</v>
      </c>
      <c r="J35" s="41">
        <v>3.7499999999999999E-3</v>
      </c>
      <c r="K35" s="36" t="s">
        <v>313</v>
      </c>
      <c r="L35" s="31">
        <v>1</v>
      </c>
      <c r="M35" s="31" t="s">
        <v>83</v>
      </c>
      <c r="N35" s="31" t="s">
        <v>159</v>
      </c>
      <c r="O35" s="31" t="s">
        <v>161</v>
      </c>
      <c r="P35" s="31" t="s">
        <v>34</v>
      </c>
      <c r="W35" s="31" t="s">
        <v>35</v>
      </c>
      <c r="X35" s="31">
        <v>1</v>
      </c>
      <c r="Y35" s="31" t="s">
        <v>38</v>
      </c>
      <c r="AA35" s="21"/>
      <c r="AJ35" s="46">
        <v>46104</v>
      </c>
      <c r="AK35" s="45">
        <f t="shared" ca="1" si="0"/>
        <v>46104</v>
      </c>
    </row>
    <row r="36" spans="1:37" x14ac:dyDescent="0.2">
      <c r="A36" s="31">
        <v>1</v>
      </c>
      <c r="B36" s="31" t="s">
        <v>84</v>
      </c>
      <c r="C36" s="31" t="s">
        <v>85</v>
      </c>
      <c r="D36" s="31" t="s">
        <v>32</v>
      </c>
      <c r="E36" s="31" t="s">
        <v>82</v>
      </c>
      <c r="F36" s="31" t="s">
        <v>238</v>
      </c>
      <c r="G36" s="31" t="s">
        <v>33</v>
      </c>
      <c r="H36" s="40">
        <v>44613</v>
      </c>
      <c r="I36" s="40">
        <v>46955</v>
      </c>
      <c r="J36" s="41">
        <v>2.5000000000000001E-3</v>
      </c>
      <c r="K36" s="36" t="s">
        <v>313</v>
      </c>
      <c r="L36" s="31">
        <v>2</v>
      </c>
      <c r="M36" s="31" t="s">
        <v>83</v>
      </c>
      <c r="N36" s="31" t="s">
        <v>159</v>
      </c>
      <c r="O36" s="31" t="s">
        <v>161</v>
      </c>
      <c r="P36" s="31" t="s">
        <v>34</v>
      </c>
      <c r="W36" s="31" t="s">
        <v>35</v>
      </c>
      <c r="X36" s="31">
        <v>1</v>
      </c>
      <c r="Y36" s="31" t="s">
        <v>38</v>
      </c>
      <c r="AA36" s="21"/>
      <c r="AJ36" s="45">
        <v>46436</v>
      </c>
      <c r="AK36" s="45">
        <f t="shared" ca="1" si="0"/>
        <v>46436</v>
      </c>
    </row>
    <row r="37" spans="1:37" x14ac:dyDescent="0.2">
      <c r="A37" s="31">
        <v>1</v>
      </c>
      <c r="B37" s="31" t="s">
        <v>86</v>
      </c>
      <c r="C37" s="31" t="s">
        <v>87</v>
      </c>
      <c r="D37" s="31" t="s">
        <v>32</v>
      </c>
      <c r="E37" s="31" t="s">
        <v>88</v>
      </c>
      <c r="F37" s="31" t="s">
        <v>238</v>
      </c>
      <c r="G37" s="31" t="s">
        <v>33</v>
      </c>
      <c r="H37" s="40">
        <v>44627</v>
      </c>
      <c r="I37" s="40">
        <v>46631</v>
      </c>
      <c r="J37" s="41">
        <v>3.7499999999999999E-3</v>
      </c>
      <c r="K37" s="36" t="s">
        <v>313</v>
      </c>
      <c r="L37" s="31">
        <v>1</v>
      </c>
      <c r="M37" s="31" t="s">
        <v>89</v>
      </c>
      <c r="N37" s="31" t="s">
        <v>159</v>
      </c>
      <c r="O37" s="31" t="s">
        <v>161</v>
      </c>
      <c r="P37" s="31" t="s">
        <v>34</v>
      </c>
      <c r="W37" s="31" t="s">
        <v>35</v>
      </c>
      <c r="X37" s="31">
        <v>1</v>
      </c>
      <c r="Y37" s="31" t="s">
        <v>38</v>
      </c>
      <c r="AA37" s="21"/>
      <c r="AJ37" s="46">
        <v>46955</v>
      </c>
      <c r="AK37" s="45">
        <f t="shared" ca="1" si="0"/>
        <v>46955</v>
      </c>
    </row>
    <row r="38" spans="1:37" x14ac:dyDescent="0.2">
      <c r="A38" s="31">
        <v>1</v>
      </c>
      <c r="B38" s="31" t="s">
        <v>90</v>
      </c>
      <c r="C38" s="31" t="s">
        <v>91</v>
      </c>
      <c r="D38" s="31" t="s">
        <v>32</v>
      </c>
      <c r="E38" s="31" t="s">
        <v>92</v>
      </c>
      <c r="F38" s="31" t="s">
        <v>238</v>
      </c>
      <c r="G38" s="31" t="s">
        <v>33</v>
      </c>
      <c r="H38" s="40">
        <v>44627</v>
      </c>
      <c r="I38" s="40">
        <v>46407</v>
      </c>
      <c r="J38" s="41">
        <v>1.6250000000000001E-2</v>
      </c>
      <c r="K38" s="36" t="s">
        <v>313</v>
      </c>
      <c r="L38" s="31">
        <v>1</v>
      </c>
      <c r="M38" s="31" t="s">
        <v>93</v>
      </c>
      <c r="N38" s="31" t="s">
        <v>159</v>
      </c>
      <c r="O38" s="31" t="s">
        <v>161</v>
      </c>
      <c r="P38" s="31" t="s">
        <v>34</v>
      </c>
      <c r="W38" s="31" t="s">
        <v>35</v>
      </c>
      <c r="X38" s="31">
        <v>1</v>
      </c>
      <c r="Y38" s="31" t="s">
        <v>38</v>
      </c>
      <c r="AA38" s="21"/>
      <c r="AJ38" s="45">
        <v>46631</v>
      </c>
      <c r="AK38" s="45">
        <f t="shared" ca="1" si="0"/>
        <v>46631</v>
      </c>
    </row>
    <row r="39" spans="1:37" x14ac:dyDescent="0.2">
      <c r="A39" s="31">
        <v>1</v>
      </c>
      <c r="B39" s="31" t="s">
        <v>95</v>
      </c>
      <c r="C39" s="31" t="s">
        <v>96</v>
      </c>
      <c r="D39" s="31" t="s">
        <v>32</v>
      </c>
      <c r="E39" s="31" t="s">
        <v>97</v>
      </c>
      <c r="F39" s="31" t="s">
        <v>238</v>
      </c>
      <c r="G39" s="31" t="s">
        <v>33</v>
      </c>
      <c r="H39" s="40">
        <v>44649</v>
      </c>
      <c r="I39" s="40">
        <v>46652</v>
      </c>
      <c r="J39" s="41">
        <v>0</v>
      </c>
      <c r="K39" s="36" t="s">
        <v>313</v>
      </c>
      <c r="L39" s="31">
        <v>1</v>
      </c>
      <c r="M39" s="31" t="s">
        <v>98</v>
      </c>
      <c r="N39" s="31" t="s">
        <v>159</v>
      </c>
      <c r="O39" s="31" t="s">
        <v>161</v>
      </c>
      <c r="P39" s="31" t="s">
        <v>34</v>
      </c>
      <c r="W39" s="31" t="s">
        <v>35</v>
      </c>
      <c r="X39" s="31">
        <v>1</v>
      </c>
      <c r="Y39" s="31" t="s">
        <v>94</v>
      </c>
      <c r="AA39" s="21"/>
      <c r="AJ39" s="46">
        <v>46407</v>
      </c>
      <c r="AK39" s="45">
        <f t="shared" ca="1" si="0"/>
        <v>46407</v>
      </c>
    </row>
    <row r="40" spans="1:37" x14ac:dyDescent="0.2">
      <c r="A40" s="31">
        <v>1</v>
      </c>
      <c r="B40" s="31" t="s">
        <v>99</v>
      </c>
      <c r="C40" s="31" t="s">
        <v>100</v>
      </c>
      <c r="D40" s="31" t="s">
        <v>32</v>
      </c>
      <c r="E40" s="31" t="s">
        <v>101</v>
      </c>
      <c r="F40" s="31" t="s">
        <v>238</v>
      </c>
      <c r="G40" s="31" t="s">
        <v>33</v>
      </c>
      <c r="H40" s="40">
        <v>44649</v>
      </c>
      <c r="I40" s="40">
        <v>46703</v>
      </c>
      <c r="J40" s="41">
        <v>1E-4</v>
      </c>
      <c r="K40" s="36" t="s">
        <v>313</v>
      </c>
      <c r="L40" s="31">
        <v>1</v>
      </c>
      <c r="M40" s="31" t="s">
        <v>102</v>
      </c>
      <c r="N40" s="31" t="s">
        <v>159</v>
      </c>
      <c r="O40" s="31" t="s">
        <v>161</v>
      </c>
      <c r="P40" s="31" t="s">
        <v>34</v>
      </c>
      <c r="W40" s="31" t="s">
        <v>35</v>
      </c>
      <c r="X40" s="31">
        <v>1</v>
      </c>
      <c r="Y40" s="31" t="s">
        <v>38</v>
      </c>
      <c r="AA40" s="21"/>
      <c r="AJ40" s="45">
        <v>46652</v>
      </c>
      <c r="AK40" s="45">
        <f t="shared" ca="1" si="0"/>
        <v>46652</v>
      </c>
    </row>
    <row r="41" spans="1:37" x14ac:dyDescent="0.2">
      <c r="A41" s="31">
        <v>1</v>
      </c>
      <c r="B41" s="31" t="s">
        <v>103</v>
      </c>
      <c r="C41" s="31" t="s">
        <v>104</v>
      </c>
      <c r="D41" s="31" t="s">
        <v>32</v>
      </c>
      <c r="E41" s="31" t="s">
        <v>105</v>
      </c>
      <c r="F41" s="31" t="s">
        <v>238</v>
      </c>
      <c r="G41" s="31" t="s">
        <v>33</v>
      </c>
      <c r="H41" s="40">
        <v>44649</v>
      </c>
      <c r="I41" s="40">
        <v>46793</v>
      </c>
      <c r="J41" s="41">
        <v>1.25E-3</v>
      </c>
      <c r="K41" s="36" t="s">
        <v>313</v>
      </c>
      <c r="L41" s="31">
        <v>1</v>
      </c>
      <c r="M41" s="31" t="s">
        <v>106</v>
      </c>
      <c r="N41" s="31" t="s">
        <v>159</v>
      </c>
      <c r="O41" s="31" t="s">
        <v>161</v>
      </c>
      <c r="P41" s="31" t="s">
        <v>34</v>
      </c>
      <c r="W41" s="31" t="s">
        <v>35</v>
      </c>
      <c r="X41" s="31">
        <v>1</v>
      </c>
      <c r="Y41" s="31" t="s">
        <v>38</v>
      </c>
      <c r="AA41" s="21"/>
      <c r="AJ41" s="46">
        <v>46703</v>
      </c>
      <c r="AK41" s="45">
        <f t="shared" ca="1" si="0"/>
        <v>46703</v>
      </c>
    </row>
    <row r="42" spans="1:37" x14ac:dyDescent="0.2">
      <c r="A42" s="31">
        <v>1</v>
      </c>
      <c r="B42" s="31" t="s">
        <v>107</v>
      </c>
      <c r="C42" s="31" t="s">
        <v>108</v>
      </c>
      <c r="D42" s="31" t="s">
        <v>32</v>
      </c>
      <c r="E42" s="31" t="s">
        <v>109</v>
      </c>
      <c r="F42" s="31" t="s">
        <v>238</v>
      </c>
      <c r="G42" s="31" t="s">
        <v>33</v>
      </c>
      <c r="H42" s="40">
        <v>44680</v>
      </c>
      <c r="I42" s="40">
        <v>46421</v>
      </c>
      <c r="J42" s="41">
        <v>1.375E-2</v>
      </c>
      <c r="K42" s="36" t="s">
        <v>313</v>
      </c>
      <c r="L42" s="31">
        <v>1</v>
      </c>
      <c r="M42" s="31" t="s">
        <v>110</v>
      </c>
      <c r="N42" s="31" t="s">
        <v>159</v>
      </c>
      <c r="O42" s="31" t="s">
        <v>162</v>
      </c>
      <c r="P42" s="31" t="s">
        <v>34</v>
      </c>
      <c r="W42" s="31" t="s">
        <v>35</v>
      </c>
      <c r="X42" s="31">
        <v>1</v>
      </c>
      <c r="Y42" s="31" t="s">
        <v>38</v>
      </c>
      <c r="AA42" s="21"/>
      <c r="AJ42" s="45">
        <v>46793</v>
      </c>
      <c r="AK42" s="45">
        <f t="shared" ca="1" si="0"/>
        <v>46793</v>
      </c>
    </row>
    <row r="43" spans="1:37" x14ac:dyDescent="0.2">
      <c r="A43" s="31">
        <v>1</v>
      </c>
      <c r="B43" s="31" t="s">
        <v>209</v>
      </c>
      <c r="C43" s="31" t="s">
        <v>210</v>
      </c>
      <c r="D43" s="31" t="s">
        <v>211</v>
      </c>
      <c r="E43" s="31" t="s">
        <v>92</v>
      </c>
      <c r="F43" s="31" t="s">
        <v>238</v>
      </c>
      <c r="G43" s="31" t="s">
        <v>33</v>
      </c>
      <c r="H43" s="40">
        <v>43994</v>
      </c>
      <c r="I43" s="40">
        <v>46183</v>
      </c>
      <c r="J43" s="41">
        <v>1.375E-2</v>
      </c>
      <c r="K43" s="36" t="s">
        <v>313</v>
      </c>
      <c r="L43" s="31">
        <v>1</v>
      </c>
      <c r="M43" s="31" t="s">
        <v>93</v>
      </c>
      <c r="N43" s="31" t="s">
        <v>159</v>
      </c>
      <c r="O43" s="31" t="s">
        <v>161</v>
      </c>
      <c r="P43" s="31" t="s">
        <v>191</v>
      </c>
      <c r="Q43" s="31">
        <v>1</v>
      </c>
      <c r="R43" s="31" t="s">
        <v>192</v>
      </c>
      <c r="S43" s="31">
        <v>0</v>
      </c>
      <c r="T43" s="31">
        <v>1</v>
      </c>
      <c r="U43" s="31">
        <v>1.67E-2</v>
      </c>
      <c r="W43" s="31" t="s">
        <v>212</v>
      </c>
      <c r="X43" s="31">
        <v>1</v>
      </c>
      <c r="Y43" s="31" t="s">
        <v>38</v>
      </c>
      <c r="AA43" s="21"/>
      <c r="AJ43" s="46">
        <v>46421</v>
      </c>
      <c r="AK43" s="45">
        <f t="shared" ca="1" si="0"/>
        <v>46421</v>
      </c>
    </row>
    <row r="44" spans="1:37" x14ac:dyDescent="0.2">
      <c r="A44" s="31">
        <v>1</v>
      </c>
      <c r="B44" s="31" t="s">
        <v>111</v>
      </c>
      <c r="C44" s="31" t="s">
        <v>112</v>
      </c>
      <c r="D44" s="31" t="s">
        <v>32</v>
      </c>
      <c r="E44" s="31" t="s">
        <v>113</v>
      </c>
      <c r="F44" s="31" t="s">
        <v>238</v>
      </c>
      <c r="G44" s="31" t="s">
        <v>33</v>
      </c>
      <c r="H44" s="40">
        <v>44680</v>
      </c>
      <c r="I44" s="40">
        <v>45763</v>
      </c>
      <c r="J44" s="41">
        <v>0.01</v>
      </c>
      <c r="K44" s="36" t="s">
        <v>313</v>
      </c>
      <c r="L44" s="31">
        <v>1</v>
      </c>
      <c r="M44" s="31" t="s">
        <v>114</v>
      </c>
      <c r="N44" s="31" t="s">
        <v>159</v>
      </c>
      <c r="O44" s="31" t="s">
        <v>162</v>
      </c>
      <c r="P44" s="31" t="s">
        <v>34</v>
      </c>
      <c r="W44" s="31" t="s">
        <v>35</v>
      </c>
      <c r="X44" s="31">
        <v>1</v>
      </c>
      <c r="Y44" s="31" t="s">
        <v>94</v>
      </c>
      <c r="AA44" s="21"/>
      <c r="AJ44" s="45">
        <v>46183</v>
      </c>
      <c r="AK44" s="45">
        <f t="shared" ca="1" si="0"/>
        <v>46183</v>
      </c>
    </row>
    <row r="45" spans="1:37" x14ac:dyDescent="0.2">
      <c r="A45" s="31">
        <v>1</v>
      </c>
      <c r="B45" s="31" t="s">
        <v>115</v>
      </c>
      <c r="C45" s="31" t="s">
        <v>116</v>
      </c>
      <c r="D45" s="31" t="s">
        <v>32</v>
      </c>
      <c r="E45" s="31" t="s">
        <v>117</v>
      </c>
      <c r="F45" s="31" t="s">
        <v>238</v>
      </c>
      <c r="G45" s="31" t="s">
        <v>33</v>
      </c>
      <c r="H45" s="40">
        <v>44676</v>
      </c>
      <c r="I45" s="40">
        <v>45761</v>
      </c>
      <c r="J45" s="41">
        <v>1.375E-2</v>
      </c>
      <c r="K45" s="36" t="s">
        <v>313</v>
      </c>
      <c r="L45" s="31">
        <v>1</v>
      </c>
      <c r="M45" s="31" t="s">
        <v>118</v>
      </c>
      <c r="N45" s="31" t="s">
        <v>159</v>
      </c>
      <c r="O45" s="31" t="s">
        <v>160</v>
      </c>
      <c r="P45" s="31" t="s">
        <v>34</v>
      </c>
      <c r="W45" s="31" t="s">
        <v>35</v>
      </c>
      <c r="X45" s="31">
        <v>1</v>
      </c>
      <c r="Y45" s="31" t="s">
        <v>38</v>
      </c>
      <c r="AA45" s="21"/>
      <c r="AJ45" s="46">
        <v>45763</v>
      </c>
      <c r="AK45" s="45">
        <f t="shared" ca="1" si="0"/>
        <v>45763</v>
      </c>
    </row>
    <row r="46" spans="1:37" x14ac:dyDescent="0.2">
      <c r="A46" s="31">
        <v>1</v>
      </c>
      <c r="B46" s="31" t="s">
        <v>119</v>
      </c>
      <c r="C46" s="31" t="s">
        <v>120</v>
      </c>
      <c r="D46" s="31" t="s">
        <v>32</v>
      </c>
      <c r="E46" s="31" t="s">
        <v>39</v>
      </c>
      <c r="F46" s="31" t="s">
        <v>238</v>
      </c>
      <c r="G46" s="31" t="s">
        <v>33</v>
      </c>
      <c r="H46" s="40">
        <v>44705</v>
      </c>
      <c r="I46" s="40">
        <v>46568</v>
      </c>
      <c r="J46" s="41">
        <v>1.8749999999999999E-2</v>
      </c>
      <c r="K46" s="36" t="s">
        <v>313</v>
      </c>
      <c r="L46" s="31">
        <v>1</v>
      </c>
      <c r="M46" s="31" t="s">
        <v>40</v>
      </c>
      <c r="N46" s="31" t="s">
        <v>159</v>
      </c>
      <c r="O46" s="31" t="s">
        <v>160</v>
      </c>
      <c r="P46" s="31" t="s">
        <v>34</v>
      </c>
      <c r="W46" s="31" t="s">
        <v>35</v>
      </c>
      <c r="X46" s="31">
        <v>1</v>
      </c>
      <c r="Y46" s="31" t="s">
        <v>38</v>
      </c>
      <c r="AA46" s="21"/>
      <c r="AJ46" s="45">
        <v>45761</v>
      </c>
      <c r="AK46" s="45">
        <f t="shared" ca="1" si="0"/>
        <v>45761</v>
      </c>
    </row>
    <row r="47" spans="1:37" x14ac:dyDescent="0.2">
      <c r="A47" s="31">
        <v>1</v>
      </c>
      <c r="B47" s="31" t="s">
        <v>121</v>
      </c>
      <c r="C47" s="31" t="s">
        <v>122</v>
      </c>
      <c r="D47" s="31" t="s">
        <v>32</v>
      </c>
      <c r="E47" s="31" t="s">
        <v>109</v>
      </c>
      <c r="F47" s="31" t="s">
        <v>238</v>
      </c>
      <c r="G47" s="31" t="s">
        <v>33</v>
      </c>
      <c r="H47" s="40">
        <v>44697</v>
      </c>
      <c r="I47" s="40">
        <v>45349</v>
      </c>
      <c r="J47" s="41">
        <v>6.2500000000000003E-3</v>
      </c>
      <c r="K47" s="36" t="s">
        <v>313</v>
      </c>
      <c r="L47" s="31">
        <v>1</v>
      </c>
      <c r="M47" s="31" t="s">
        <v>110</v>
      </c>
      <c r="N47" s="31" t="s">
        <v>159</v>
      </c>
      <c r="O47" s="31" t="s">
        <v>162</v>
      </c>
      <c r="P47" s="31" t="s">
        <v>34</v>
      </c>
      <c r="W47" s="31" t="s">
        <v>35</v>
      </c>
      <c r="X47" s="31">
        <v>1</v>
      </c>
      <c r="Y47" s="31" t="s">
        <v>38</v>
      </c>
      <c r="AA47" s="21"/>
      <c r="AJ47" s="46">
        <v>46568</v>
      </c>
      <c r="AK47" s="45">
        <f t="shared" ca="1" si="0"/>
        <v>46568</v>
      </c>
    </row>
    <row r="48" spans="1:37" x14ac:dyDescent="0.2">
      <c r="A48" s="31">
        <v>1</v>
      </c>
      <c r="B48" s="31" t="s">
        <v>123</v>
      </c>
      <c r="C48" s="31" t="s">
        <v>124</v>
      </c>
      <c r="D48" s="31" t="s">
        <v>32</v>
      </c>
      <c r="E48" s="31" t="s">
        <v>125</v>
      </c>
      <c r="F48" s="31" t="s">
        <v>238</v>
      </c>
      <c r="G48" s="31" t="s">
        <v>33</v>
      </c>
      <c r="H48" s="40">
        <v>44714</v>
      </c>
      <c r="I48" s="40">
        <v>45838</v>
      </c>
      <c r="J48" s="41">
        <v>2.5000000000000001E-3</v>
      </c>
      <c r="K48" s="36" t="s">
        <v>313</v>
      </c>
      <c r="L48" s="31">
        <v>1</v>
      </c>
      <c r="M48" s="31" t="s">
        <v>126</v>
      </c>
      <c r="N48" s="31" t="s">
        <v>159</v>
      </c>
      <c r="O48" s="31" t="s">
        <v>161</v>
      </c>
      <c r="P48" s="31" t="s">
        <v>34</v>
      </c>
      <c r="W48" s="31" t="s">
        <v>35</v>
      </c>
      <c r="X48" s="31">
        <v>1</v>
      </c>
      <c r="Y48" s="31" t="s">
        <v>38</v>
      </c>
      <c r="AA48" s="21"/>
      <c r="AJ48" s="45">
        <v>45349</v>
      </c>
      <c r="AK48" s="45">
        <f t="shared" ca="1" si="0"/>
        <v>45529</v>
      </c>
    </row>
    <row r="49" spans="1:37" x14ac:dyDescent="0.2">
      <c r="A49" s="31">
        <v>1</v>
      </c>
      <c r="B49" s="31" t="s">
        <v>213</v>
      </c>
      <c r="C49" s="31" t="s">
        <v>214</v>
      </c>
      <c r="D49" s="31" t="s">
        <v>32</v>
      </c>
      <c r="E49" s="31" t="s">
        <v>39</v>
      </c>
      <c r="F49" s="31" t="s">
        <v>238</v>
      </c>
      <c r="G49" s="31" t="s">
        <v>33</v>
      </c>
      <c r="H49" s="40">
        <v>44739</v>
      </c>
      <c r="I49" s="40">
        <v>46568</v>
      </c>
      <c r="J49" s="41">
        <v>1.8749999999999999E-2</v>
      </c>
      <c r="K49" s="36" t="s">
        <v>313</v>
      </c>
      <c r="L49" s="31">
        <v>1</v>
      </c>
      <c r="M49" s="31" t="s">
        <v>40</v>
      </c>
      <c r="N49" s="31" t="s">
        <v>159</v>
      </c>
      <c r="O49" s="31" t="s">
        <v>160</v>
      </c>
      <c r="P49" s="31" t="s">
        <v>191</v>
      </c>
      <c r="Q49" s="31">
        <v>1</v>
      </c>
      <c r="R49" s="31" t="s">
        <v>192</v>
      </c>
      <c r="S49" s="31">
        <v>0</v>
      </c>
      <c r="T49" s="31">
        <v>1</v>
      </c>
      <c r="U49" s="31">
        <v>0</v>
      </c>
      <c r="W49" s="31" t="s">
        <v>212</v>
      </c>
      <c r="X49" s="31">
        <v>1</v>
      </c>
      <c r="Y49" s="31" t="s">
        <v>38</v>
      </c>
      <c r="AA49" s="21"/>
      <c r="AJ49" s="46">
        <v>45838</v>
      </c>
      <c r="AK49" s="45">
        <f t="shared" ca="1" si="0"/>
        <v>45838</v>
      </c>
    </row>
    <row r="50" spans="1:37" x14ac:dyDescent="0.2">
      <c r="A50" s="31">
        <v>1</v>
      </c>
      <c r="B50" s="31" t="s">
        <v>127</v>
      </c>
      <c r="C50" s="31" t="s">
        <v>128</v>
      </c>
      <c r="D50" s="31" t="s">
        <v>32</v>
      </c>
      <c r="E50" s="31" t="s">
        <v>129</v>
      </c>
      <c r="F50" s="31" t="s">
        <v>238</v>
      </c>
      <c r="G50" s="31" t="s">
        <v>33</v>
      </c>
      <c r="H50" s="40">
        <v>44802</v>
      </c>
      <c r="I50" s="40">
        <v>46310</v>
      </c>
      <c r="J50" s="41">
        <v>1E-3</v>
      </c>
      <c r="K50" s="36" t="s">
        <v>313</v>
      </c>
      <c r="L50" s="31">
        <v>1</v>
      </c>
      <c r="M50" s="31" t="s">
        <v>130</v>
      </c>
      <c r="N50" s="31" t="s">
        <v>159</v>
      </c>
      <c r="O50" s="31" t="s">
        <v>163</v>
      </c>
      <c r="P50" s="31" t="s">
        <v>34</v>
      </c>
      <c r="W50" s="31" t="s">
        <v>35</v>
      </c>
      <c r="X50" s="31">
        <v>1</v>
      </c>
      <c r="Y50" s="31" t="s">
        <v>38</v>
      </c>
      <c r="AA50" s="21"/>
      <c r="AJ50" s="45">
        <v>46568</v>
      </c>
      <c r="AK50" s="45">
        <f t="shared" ca="1" si="0"/>
        <v>46568</v>
      </c>
    </row>
    <row r="51" spans="1:37" x14ac:dyDescent="0.2">
      <c r="A51" s="31">
        <v>1</v>
      </c>
      <c r="B51" s="31" t="s">
        <v>131</v>
      </c>
      <c r="C51" s="31" t="s">
        <v>132</v>
      </c>
      <c r="D51" s="31" t="s">
        <v>32</v>
      </c>
      <c r="E51" s="31" t="s">
        <v>39</v>
      </c>
      <c r="F51" s="31" t="s">
        <v>238</v>
      </c>
      <c r="G51" s="31" t="s">
        <v>33</v>
      </c>
      <c r="H51" s="40">
        <v>44825</v>
      </c>
      <c r="I51" s="40">
        <v>45921</v>
      </c>
      <c r="J51" s="41">
        <v>2.8750000000000001E-2</v>
      </c>
      <c r="K51" s="36" t="s">
        <v>313</v>
      </c>
      <c r="L51" s="31">
        <v>1</v>
      </c>
      <c r="M51" s="31" t="s">
        <v>40</v>
      </c>
      <c r="N51" s="31" t="s">
        <v>159</v>
      </c>
      <c r="O51" s="31" t="s">
        <v>160</v>
      </c>
      <c r="P51" s="31" t="s">
        <v>34</v>
      </c>
      <c r="W51" s="31" t="s">
        <v>35</v>
      </c>
      <c r="X51" s="31">
        <v>1</v>
      </c>
      <c r="Y51" s="31" t="s">
        <v>38</v>
      </c>
      <c r="AA51" s="21"/>
      <c r="AJ51" s="46">
        <v>46310</v>
      </c>
      <c r="AK51" s="45">
        <f t="shared" ca="1" si="0"/>
        <v>46310</v>
      </c>
    </row>
    <row r="52" spans="1:37" x14ac:dyDescent="0.2">
      <c r="A52" s="31">
        <v>1</v>
      </c>
      <c r="B52" s="31" t="s">
        <v>135</v>
      </c>
      <c r="C52" s="31" t="s">
        <v>136</v>
      </c>
      <c r="D52" s="31" t="s">
        <v>32</v>
      </c>
      <c r="E52" s="31" t="s">
        <v>133</v>
      </c>
      <c r="F52" s="31" t="s">
        <v>238</v>
      </c>
      <c r="G52" s="31" t="s">
        <v>33</v>
      </c>
      <c r="H52" s="40">
        <v>44819</v>
      </c>
      <c r="I52" s="40">
        <v>46557</v>
      </c>
      <c r="J52" s="41">
        <v>6.2500000000000003E-3</v>
      </c>
      <c r="K52" s="36" t="s">
        <v>313</v>
      </c>
      <c r="L52" s="31">
        <v>1</v>
      </c>
      <c r="M52" s="31" t="s">
        <v>134</v>
      </c>
      <c r="N52" s="31" t="s">
        <v>159</v>
      </c>
      <c r="O52" s="31" t="s">
        <v>162</v>
      </c>
      <c r="P52" s="31" t="s">
        <v>34</v>
      </c>
      <c r="W52" s="31" t="s">
        <v>35</v>
      </c>
      <c r="X52" s="31">
        <v>1</v>
      </c>
      <c r="Y52" s="31" t="s">
        <v>38</v>
      </c>
      <c r="AA52" s="21"/>
      <c r="AJ52" s="45">
        <v>45921</v>
      </c>
      <c r="AK52" s="45">
        <f t="shared" ca="1" si="0"/>
        <v>45921</v>
      </c>
    </row>
    <row r="53" spans="1:37" x14ac:dyDescent="0.2">
      <c r="A53" s="31">
        <v>1</v>
      </c>
      <c r="B53" s="31" t="s">
        <v>137</v>
      </c>
      <c r="C53" s="31" t="s">
        <v>138</v>
      </c>
      <c r="D53" s="31" t="s">
        <v>32</v>
      </c>
      <c r="E53" s="31" t="s">
        <v>97</v>
      </c>
      <c r="F53" s="31" t="s">
        <v>238</v>
      </c>
      <c r="G53" s="31" t="s">
        <v>33</v>
      </c>
      <c r="H53" s="40">
        <v>44830</v>
      </c>
      <c r="I53" s="40">
        <v>45488</v>
      </c>
      <c r="J53" s="41">
        <v>2.5000000000000001E-3</v>
      </c>
      <c r="K53" s="36" t="s">
        <v>313</v>
      </c>
      <c r="L53" s="31">
        <v>1</v>
      </c>
      <c r="M53" s="31" t="s">
        <v>98</v>
      </c>
      <c r="N53" s="31" t="s">
        <v>159</v>
      </c>
      <c r="O53" s="31" t="s">
        <v>161</v>
      </c>
      <c r="P53" s="31" t="s">
        <v>34</v>
      </c>
      <c r="W53" s="31" t="s">
        <v>35</v>
      </c>
      <c r="X53" s="31">
        <v>1</v>
      </c>
      <c r="Y53" s="31" t="s">
        <v>38</v>
      </c>
      <c r="AA53" s="21"/>
      <c r="AJ53" s="46">
        <v>46557</v>
      </c>
      <c r="AK53" s="45">
        <f t="shared" ca="1" si="0"/>
        <v>46557</v>
      </c>
    </row>
    <row r="54" spans="1:37" x14ac:dyDescent="0.2">
      <c r="A54" s="31">
        <v>1</v>
      </c>
      <c r="B54" s="31" t="s">
        <v>139</v>
      </c>
      <c r="C54" s="31" t="s">
        <v>140</v>
      </c>
      <c r="D54" s="31" t="s">
        <v>32</v>
      </c>
      <c r="E54" s="31" t="s">
        <v>39</v>
      </c>
      <c r="F54" s="31" t="s">
        <v>238</v>
      </c>
      <c r="G54" s="31" t="s">
        <v>33</v>
      </c>
      <c r="H54" s="40">
        <v>44855</v>
      </c>
      <c r="I54" s="40">
        <v>46301</v>
      </c>
      <c r="J54" s="41">
        <v>2.1250000000000002E-2</v>
      </c>
      <c r="K54" s="36" t="s">
        <v>313</v>
      </c>
      <c r="L54" s="31">
        <v>1</v>
      </c>
      <c r="M54" s="31" t="s">
        <v>40</v>
      </c>
      <c r="N54" s="31" t="s">
        <v>159</v>
      </c>
      <c r="O54" s="31" t="s">
        <v>160</v>
      </c>
      <c r="P54" s="31" t="s">
        <v>34</v>
      </c>
      <c r="W54" s="31" t="s">
        <v>35</v>
      </c>
      <c r="X54" s="31">
        <v>1</v>
      </c>
      <c r="Y54" s="31" t="s">
        <v>38</v>
      </c>
      <c r="AA54" s="21"/>
      <c r="AJ54" s="45">
        <v>45488</v>
      </c>
      <c r="AK54" s="45">
        <f t="shared" ca="1" si="0"/>
        <v>45488</v>
      </c>
    </row>
    <row r="55" spans="1:37" x14ac:dyDescent="0.2">
      <c r="A55" s="31">
        <v>1</v>
      </c>
      <c r="B55" s="31" t="s">
        <v>263</v>
      </c>
      <c r="C55" s="31" t="s">
        <v>264</v>
      </c>
      <c r="D55" s="31" t="s">
        <v>32</v>
      </c>
      <c r="E55" s="31" t="s">
        <v>125</v>
      </c>
      <c r="F55" s="31" t="s">
        <v>238</v>
      </c>
      <c r="G55" s="31" t="s">
        <v>33</v>
      </c>
      <c r="H55" s="40">
        <v>44964</v>
      </c>
      <c r="I55" s="40">
        <v>45672</v>
      </c>
      <c r="J55" s="41">
        <v>6.2500000000000003E-3</v>
      </c>
      <c r="K55" s="36" t="s">
        <v>313</v>
      </c>
      <c r="L55" s="31">
        <v>1</v>
      </c>
      <c r="M55" s="31" t="s">
        <v>126</v>
      </c>
      <c r="N55" s="31" t="s">
        <v>159</v>
      </c>
      <c r="O55" s="31" t="s">
        <v>161</v>
      </c>
      <c r="P55" s="31" t="s">
        <v>34</v>
      </c>
      <c r="W55" s="31" t="s">
        <v>35</v>
      </c>
      <c r="X55" s="31">
        <v>1</v>
      </c>
      <c r="Y55" s="31" t="s">
        <v>38</v>
      </c>
      <c r="AA55" s="21"/>
      <c r="AJ55" s="46">
        <v>46301</v>
      </c>
      <c r="AK55" s="45">
        <f t="shared" ca="1" si="0"/>
        <v>46301</v>
      </c>
    </row>
    <row r="56" spans="1:37" x14ac:dyDescent="0.2">
      <c r="A56" s="31">
        <v>1</v>
      </c>
      <c r="B56" s="31" t="s">
        <v>265</v>
      </c>
      <c r="C56" s="31" t="s">
        <v>266</v>
      </c>
      <c r="D56" s="31" t="s">
        <v>32</v>
      </c>
      <c r="E56" s="31" t="s">
        <v>39</v>
      </c>
      <c r="F56" s="31" t="s">
        <v>238</v>
      </c>
      <c r="G56" s="31" t="s">
        <v>33</v>
      </c>
      <c r="H56" s="40">
        <v>44992</v>
      </c>
      <c r="I56" s="40">
        <v>45743</v>
      </c>
      <c r="J56" s="41">
        <v>3.7499999999999999E-2</v>
      </c>
      <c r="K56" s="36" t="s">
        <v>313</v>
      </c>
      <c r="L56" s="31">
        <v>1</v>
      </c>
      <c r="M56" s="31" t="s">
        <v>40</v>
      </c>
      <c r="N56" s="31" t="s">
        <v>159</v>
      </c>
      <c r="O56" s="31" t="s">
        <v>160</v>
      </c>
      <c r="P56" s="31" t="s">
        <v>34</v>
      </c>
      <c r="W56" s="31" t="s">
        <v>35</v>
      </c>
      <c r="X56" s="31">
        <v>1</v>
      </c>
      <c r="Y56" s="31" t="s">
        <v>38</v>
      </c>
      <c r="AA56" s="21"/>
      <c r="AJ56" s="45">
        <v>45672</v>
      </c>
      <c r="AK56" s="45">
        <f t="shared" ca="1" si="0"/>
        <v>45672</v>
      </c>
    </row>
    <row r="57" spans="1:37" x14ac:dyDescent="0.2">
      <c r="A57" s="31">
        <v>1</v>
      </c>
      <c r="B57" s="31" t="s">
        <v>267</v>
      </c>
      <c r="C57" s="31" t="s">
        <v>268</v>
      </c>
      <c r="D57" s="31" t="s">
        <v>32</v>
      </c>
      <c r="E57" s="31" t="s">
        <v>42</v>
      </c>
      <c r="F57" s="31" t="s">
        <v>238</v>
      </c>
      <c r="G57" s="31" t="s">
        <v>33</v>
      </c>
      <c r="H57" s="40">
        <v>45065</v>
      </c>
      <c r="I57" s="40">
        <v>46161</v>
      </c>
      <c r="J57" s="41">
        <v>3.7999999999999999E-2</v>
      </c>
      <c r="K57" s="36" t="s">
        <v>313</v>
      </c>
      <c r="L57" s="31">
        <v>1</v>
      </c>
      <c r="M57" s="31" t="s">
        <v>43</v>
      </c>
      <c r="N57" s="31" t="s">
        <v>159</v>
      </c>
      <c r="O57" s="31" t="s">
        <v>160</v>
      </c>
      <c r="P57" s="31" t="s">
        <v>34</v>
      </c>
      <c r="W57" s="31" t="s">
        <v>35</v>
      </c>
      <c r="X57" s="31">
        <v>1</v>
      </c>
      <c r="Y57" s="31" t="s">
        <v>38</v>
      </c>
      <c r="AA57" s="21"/>
      <c r="AJ57" s="46">
        <v>45743</v>
      </c>
      <c r="AK57" s="45">
        <f t="shared" ca="1" si="0"/>
        <v>45743</v>
      </c>
    </row>
    <row r="58" spans="1:37" x14ac:dyDescent="0.2">
      <c r="A58" s="31">
        <v>1</v>
      </c>
      <c r="B58" s="31" t="s">
        <v>269</v>
      </c>
      <c r="C58" s="31" t="s">
        <v>270</v>
      </c>
      <c r="D58" s="31" t="s">
        <v>32</v>
      </c>
      <c r="E58" s="31" t="s">
        <v>49</v>
      </c>
      <c r="F58" s="31" t="s">
        <v>238</v>
      </c>
      <c r="G58" s="31" t="s">
        <v>33</v>
      </c>
      <c r="H58" s="40">
        <v>45071</v>
      </c>
      <c r="I58" s="40">
        <v>46677</v>
      </c>
      <c r="J58" s="41">
        <v>3.5000000000000003E-2</v>
      </c>
      <c r="K58" s="36" t="s">
        <v>313</v>
      </c>
      <c r="L58" s="31">
        <v>1</v>
      </c>
      <c r="M58" s="31" t="s">
        <v>50</v>
      </c>
      <c r="N58" s="31" t="s">
        <v>159</v>
      </c>
      <c r="O58" s="31" t="s">
        <v>160</v>
      </c>
      <c r="P58" s="31" t="s">
        <v>34</v>
      </c>
      <c r="W58" s="31" t="s">
        <v>35</v>
      </c>
      <c r="X58" s="31">
        <v>1</v>
      </c>
      <c r="Y58" s="31" t="s">
        <v>38</v>
      </c>
      <c r="AA58" s="21"/>
      <c r="AJ58" s="45">
        <v>46161</v>
      </c>
      <c r="AK58" s="45">
        <f t="shared" ca="1" si="0"/>
        <v>46161</v>
      </c>
    </row>
    <row r="59" spans="1:37" x14ac:dyDescent="0.2">
      <c r="A59" s="31">
        <v>1</v>
      </c>
      <c r="B59" s="31" t="s">
        <v>271</v>
      </c>
      <c r="C59" s="31" t="s">
        <v>272</v>
      </c>
      <c r="D59" s="31" t="s">
        <v>32</v>
      </c>
      <c r="E59" s="31" t="s">
        <v>78</v>
      </c>
      <c r="F59" s="31" t="s">
        <v>238</v>
      </c>
      <c r="G59" s="31" t="s">
        <v>33</v>
      </c>
      <c r="H59" s="40">
        <v>45055</v>
      </c>
      <c r="I59" s="40">
        <v>45820</v>
      </c>
      <c r="J59" s="41">
        <v>3.125E-2</v>
      </c>
      <c r="K59" s="36" t="s">
        <v>313</v>
      </c>
      <c r="L59" s="31">
        <v>1</v>
      </c>
      <c r="M59" s="31" t="s">
        <v>79</v>
      </c>
      <c r="N59" s="31" t="s">
        <v>159</v>
      </c>
      <c r="O59" s="31" t="s">
        <v>160</v>
      </c>
      <c r="P59" s="31" t="s">
        <v>34</v>
      </c>
      <c r="W59" s="31" t="s">
        <v>35</v>
      </c>
      <c r="X59" s="31">
        <v>1</v>
      </c>
      <c r="Y59" s="31" t="s">
        <v>38</v>
      </c>
      <c r="AA59" s="21"/>
      <c r="AJ59" s="46">
        <v>46677</v>
      </c>
      <c r="AK59" s="45">
        <f t="shared" ca="1" si="0"/>
        <v>46677</v>
      </c>
    </row>
    <row r="60" spans="1:37" x14ac:dyDescent="0.2">
      <c r="A60" s="31">
        <v>1</v>
      </c>
      <c r="B60" s="31" t="s">
        <v>336</v>
      </c>
      <c r="C60" s="31" t="s">
        <v>337</v>
      </c>
      <c r="D60" s="31" t="s">
        <v>32</v>
      </c>
      <c r="E60" s="31" t="s">
        <v>338</v>
      </c>
      <c r="F60" s="31" t="s">
        <v>238</v>
      </c>
      <c r="G60" s="31" t="s">
        <v>33</v>
      </c>
      <c r="H60" s="40">
        <v>45275</v>
      </c>
      <c r="I60" s="40">
        <v>45407</v>
      </c>
      <c r="J60" s="41">
        <v>0</v>
      </c>
      <c r="K60" s="36" t="s">
        <v>313</v>
      </c>
      <c r="L60" s="31">
        <v>1</v>
      </c>
      <c r="M60" s="31" t="s">
        <v>339</v>
      </c>
      <c r="N60" s="31" t="s">
        <v>340</v>
      </c>
      <c r="O60" s="31" t="s">
        <v>160</v>
      </c>
      <c r="P60" s="31" t="s">
        <v>34</v>
      </c>
      <c r="W60" s="31" t="s">
        <v>35</v>
      </c>
      <c r="X60" s="31">
        <v>1</v>
      </c>
      <c r="Y60" s="31" t="s">
        <v>38</v>
      </c>
      <c r="AA60" s="21"/>
      <c r="AJ60" s="45">
        <v>45820</v>
      </c>
      <c r="AK60" s="45">
        <f t="shared" ca="1" si="0"/>
        <v>45820</v>
      </c>
    </row>
    <row r="61" spans="1:37" x14ac:dyDescent="0.2">
      <c r="A61" s="31">
        <v>1</v>
      </c>
      <c r="B61" s="31" t="s">
        <v>341</v>
      </c>
      <c r="C61" s="31" t="s">
        <v>342</v>
      </c>
      <c r="D61" s="31" t="s">
        <v>32</v>
      </c>
      <c r="E61" s="31" t="s">
        <v>97</v>
      </c>
      <c r="F61" s="31" t="s">
        <v>238</v>
      </c>
      <c r="G61" s="31" t="s">
        <v>33</v>
      </c>
      <c r="H61" s="40">
        <v>45275</v>
      </c>
      <c r="I61" s="40">
        <v>46525</v>
      </c>
      <c r="J61" s="41">
        <v>6.2500000000000003E-3</v>
      </c>
      <c r="K61" s="36" t="s">
        <v>313</v>
      </c>
      <c r="L61" s="31">
        <v>1</v>
      </c>
      <c r="M61" s="31" t="s">
        <v>98</v>
      </c>
      <c r="N61" s="31" t="s">
        <v>159</v>
      </c>
      <c r="O61" s="31" t="s">
        <v>161</v>
      </c>
      <c r="P61" s="31" t="s">
        <v>34</v>
      </c>
      <c r="W61" s="31" t="s">
        <v>35</v>
      </c>
      <c r="X61" s="31">
        <v>1</v>
      </c>
      <c r="Y61" s="31" t="s">
        <v>38</v>
      </c>
      <c r="AA61" s="21"/>
      <c r="AJ61" s="46">
        <v>45291</v>
      </c>
      <c r="AK61" s="45">
        <f t="shared" ca="1" si="0"/>
        <v>45471</v>
      </c>
    </row>
    <row r="62" spans="1:37" x14ac:dyDescent="0.2">
      <c r="A62" s="31">
        <v>1</v>
      </c>
      <c r="B62" s="31" t="s">
        <v>343</v>
      </c>
      <c r="C62" s="31" t="s">
        <v>273</v>
      </c>
      <c r="D62" s="31" t="s">
        <v>32</v>
      </c>
      <c r="E62" s="31" t="s">
        <v>39</v>
      </c>
      <c r="F62" s="31" t="s">
        <v>274</v>
      </c>
      <c r="G62" s="31" t="s">
        <v>33</v>
      </c>
      <c r="H62" s="40">
        <v>43048</v>
      </c>
      <c r="I62" s="40">
        <v>45657</v>
      </c>
      <c r="J62" s="41">
        <v>6.0000000000000001E-3</v>
      </c>
      <c r="K62" s="36" t="s">
        <v>313</v>
      </c>
      <c r="L62" s="31">
        <v>1</v>
      </c>
      <c r="M62" s="31" t="s">
        <v>40</v>
      </c>
      <c r="N62" s="31" t="s">
        <v>159</v>
      </c>
      <c r="O62" s="31" t="s">
        <v>160</v>
      </c>
      <c r="P62" s="31" t="s">
        <v>34</v>
      </c>
      <c r="W62" s="31" t="s">
        <v>35</v>
      </c>
      <c r="X62" s="31">
        <v>1</v>
      </c>
      <c r="Y62" s="31" t="s">
        <v>38</v>
      </c>
      <c r="AA62" s="21"/>
      <c r="AJ62" s="45">
        <v>45554</v>
      </c>
      <c r="AK62" s="45">
        <f t="shared" ca="1" si="0"/>
        <v>45554</v>
      </c>
    </row>
    <row r="63" spans="1:37" x14ac:dyDescent="0.2">
      <c r="A63" s="31">
        <v>1</v>
      </c>
      <c r="B63" s="31" t="s">
        <v>344</v>
      </c>
      <c r="C63" s="31" t="s">
        <v>345</v>
      </c>
      <c r="D63" s="31" t="s">
        <v>32</v>
      </c>
      <c r="E63" s="31" t="s">
        <v>39</v>
      </c>
      <c r="F63" s="31" t="s">
        <v>274</v>
      </c>
      <c r="G63" s="31" t="s">
        <v>33</v>
      </c>
      <c r="H63" s="40">
        <v>45187</v>
      </c>
      <c r="I63" s="40">
        <v>45554</v>
      </c>
      <c r="J63" s="41">
        <v>4.1000000000000002E-2</v>
      </c>
      <c r="K63" s="36" t="s">
        <v>313</v>
      </c>
      <c r="L63" s="31">
        <v>1</v>
      </c>
      <c r="M63" s="31" t="s">
        <v>40</v>
      </c>
      <c r="N63" s="31" t="s">
        <v>159</v>
      </c>
      <c r="O63" s="31" t="s">
        <v>160</v>
      </c>
      <c r="P63" s="31" t="s">
        <v>34</v>
      </c>
      <c r="W63" s="31" t="s">
        <v>35</v>
      </c>
      <c r="X63" s="31">
        <v>1</v>
      </c>
      <c r="Y63" s="31" t="s">
        <v>38</v>
      </c>
      <c r="AA63" s="21"/>
      <c r="AJ63" s="46">
        <v>45275</v>
      </c>
      <c r="AK63" s="45">
        <f t="shared" ca="1" si="0"/>
        <v>45455</v>
      </c>
    </row>
    <row r="64" spans="1:37" x14ac:dyDescent="0.2">
      <c r="A64" s="31">
        <v>1</v>
      </c>
      <c r="B64" s="31" t="s">
        <v>346</v>
      </c>
      <c r="C64" s="31" t="s">
        <v>276</v>
      </c>
      <c r="D64" s="31" t="s">
        <v>32</v>
      </c>
      <c r="E64" s="31" t="s">
        <v>36</v>
      </c>
      <c r="F64" s="31" t="s">
        <v>274</v>
      </c>
      <c r="G64" s="31" t="s">
        <v>33</v>
      </c>
      <c r="H64" s="40">
        <v>45278</v>
      </c>
      <c r="I64" s="40">
        <v>45369</v>
      </c>
      <c r="J64" s="41">
        <v>3.7699999999999997E-2</v>
      </c>
      <c r="K64" s="36" t="s">
        <v>313</v>
      </c>
      <c r="L64" s="31">
        <v>1</v>
      </c>
      <c r="M64" s="31" t="s">
        <v>37</v>
      </c>
      <c r="N64" s="31" t="s">
        <v>159</v>
      </c>
      <c r="O64" s="31" t="s">
        <v>160</v>
      </c>
      <c r="P64" s="31" t="s">
        <v>34</v>
      </c>
      <c r="W64" s="31" t="s">
        <v>35</v>
      </c>
      <c r="X64" s="31">
        <v>1</v>
      </c>
      <c r="Y64" s="31" t="s">
        <v>38</v>
      </c>
      <c r="AA64" s="21"/>
      <c r="AJ64" s="45">
        <v>45247</v>
      </c>
      <c r="AK64" s="45">
        <f t="shared" ca="1" si="0"/>
        <v>45427</v>
      </c>
    </row>
    <row r="65" spans="1:37" x14ac:dyDescent="0.2">
      <c r="A65" s="31">
        <v>1</v>
      </c>
      <c r="B65" s="31" t="s">
        <v>347</v>
      </c>
      <c r="C65" s="31" t="s">
        <v>348</v>
      </c>
      <c r="D65" s="31" t="s">
        <v>32</v>
      </c>
      <c r="E65" s="31" t="s">
        <v>141</v>
      </c>
      <c r="F65" s="31" t="s">
        <v>274</v>
      </c>
      <c r="G65" s="31" t="s">
        <v>33</v>
      </c>
      <c r="H65" s="40">
        <v>45019</v>
      </c>
      <c r="I65" s="40">
        <v>45384</v>
      </c>
      <c r="J65" s="41">
        <v>3.15E-2</v>
      </c>
      <c r="K65" s="36" t="s">
        <v>313</v>
      </c>
      <c r="L65" s="31">
        <v>1</v>
      </c>
      <c r="M65" s="31" t="s">
        <v>141</v>
      </c>
      <c r="N65" s="31" t="s">
        <v>159</v>
      </c>
      <c r="O65" s="31" t="s">
        <v>160</v>
      </c>
      <c r="P65" s="31" t="s">
        <v>34</v>
      </c>
      <c r="W65" s="31" t="s">
        <v>35</v>
      </c>
      <c r="X65" s="31">
        <v>1</v>
      </c>
      <c r="Y65" s="31" t="s">
        <v>38</v>
      </c>
      <c r="AA65" s="21"/>
      <c r="AJ65" s="46">
        <v>45250</v>
      </c>
      <c r="AK65" s="45">
        <f t="shared" ca="1" si="0"/>
        <v>45430</v>
      </c>
    </row>
    <row r="66" spans="1:37" x14ac:dyDescent="0.2">
      <c r="A66" s="31">
        <v>1</v>
      </c>
      <c r="B66" s="31" t="s">
        <v>349</v>
      </c>
      <c r="C66" s="31" t="s">
        <v>350</v>
      </c>
      <c r="D66" s="31" t="s">
        <v>32</v>
      </c>
      <c r="E66" s="31" t="s">
        <v>68</v>
      </c>
      <c r="F66" s="31" t="s">
        <v>274</v>
      </c>
      <c r="G66" s="31" t="s">
        <v>33</v>
      </c>
      <c r="H66" s="40">
        <v>45028</v>
      </c>
      <c r="I66" s="40">
        <v>45394</v>
      </c>
      <c r="J66" s="41">
        <v>3.0800000000000001E-2</v>
      </c>
      <c r="K66" s="36" t="s">
        <v>313</v>
      </c>
      <c r="L66" s="31">
        <v>1</v>
      </c>
      <c r="M66" s="31" t="s">
        <v>69</v>
      </c>
      <c r="N66" s="31" t="s">
        <v>159</v>
      </c>
      <c r="O66" s="31" t="s">
        <v>160</v>
      </c>
      <c r="P66" s="31" t="s">
        <v>34</v>
      </c>
      <c r="W66" s="31" t="s">
        <v>35</v>
      </c>
      <c r="X66" s="31">
        <v>1</v>
      </c>
      <c r="Y66" s="31" t="s">
        <v>38</v>
      </c>
      <c r="AA66" s="21"/>
      <c r="AJ66" s="45">
        <v>45384</v>
      </c>
      <c r="AK66" s="45">
        <f t="shared" ca="1" si="0"/>
        <v>45384</v>
      </c>
    </row>
    <row r="67" spans="1:37" x14ac:dyDescent="0.2">
      <c r="A67" s="31">
        <v>1</v>
      </c>
      <c r="B67" s="31" t="s">
        <v>351</v>
      </c>
      <c r="C67" s="31" t="s">
        <v>352</v>
      </c>
      <c r="D67" s="31" t="s">
        <v>32</v>
      </c>
      <c r="E67" s="31" t="s">
        <v>44</v>
      </c>
      <c r="F67" s="31" t="s">
        <v>274</v>
      </c>
      <c r="G67" s="31" t="s">
        <v>33</v>
      </c>
      <c r="H67" s="40">
        <v>45281</v>
      </c>
      <c r="I67" s="40">
        <v>45372</v>
      </c>
      <c r="J67" s="41">
        <v>3.8300000000000001E-2</v>
      </c>
      <c r="K67" s="36" t="s">
        <v>313</v>
      </c>
      <c r="L67" s="31">
        <v>1</v>
      </c>
      <c r="M67" s="31" t="s">
        <v>45</v>
      </c>
      <c r="N67" s="31" t="s">
        <v>159</v>
      </c>
      <c r="O67" s="31" t="s">
        <v>160</v>
      </c>
      <c r="P67" s="31" t="s">
        <v>34</v>
      </c>
      <c r="W67" s="31" t="s">
        <v>35</v>
      </c>
      <c r="X67" s="31">
        <v>1</v>
      </c>
      <c r="Y67" s="31" t="s">
        <v>38</v>
      </c>
      <c r="AA67" s="21"/>
      <c r="AJ67" s="46">
        <v>45394</v>
      </c>
      <c r="AK67" s="45">
        <f t="shared" ref="AK67:AK70" ca="1" si="1">IF(AJ67&lt;=TODAY(),AJ67+180,AJ67)</f>
        <v>45394</v>
      </c>
    </row>
    <row r="68" spans="1:37" x14ac:dyDescent="0.2">
      <c r="A68" s="31">
        <v>1</v>
      </c>
      <c r="B68" s="31" t="s">
        <v>353</v>
      </c>
      <c r="C68" s="31" t="s">
        <v>354</v>
      </c>
      <c r="D68" s="31" t="s">
        <v>284</v>
      </c>
      <c r="E68" s="31" t="s">
        <v>41</v>
      </c>
      <c r="F68" s="31" t="s">
        <v>274</v>
      </c>
      <c r="G68" s="31" t="s">
        <v>33</v>
      </c>
      <c r="H68" s="40">
        <v>45190</v>
      </c>
      <c r="I68" s="40">
        <v>45417</v>
      </c>
      <c r="J68" s="41">
        <v>2.5000000000000001E-2</v>
      </c>
      <c r="K68" s="36" t="s">
        <v>313</v>
      </c>
      <c r="L68" s="31">
        <v>4</v>
      </c>
      <c r="M68" s="31" t="s">
        <v>41</v>
      </c>
      <c r="N68" s="31" t="s">
        <v>159</v>
      </c>
      <c r="O68" s="31" t="s">
        <v>160</v>
      </c>
      <c r="P68" s="31" t="s">
        <v>34</v>
      </c>
      <c r="W68" s="31" t="s">
        <v>35</v>
      </c>
      <c r="X68" s="31">
        <v>1</v>
      </c>
      <c r="Y68" s="31" t="s">
        <v>38</v>
      </c>
      <c r="AA68" s="21"/>
      <c r="AJ68" s="45">
        <v>45259</v>
      </c>
      <c r="AK68" s="45">
        <f t="shared" ca="1" si="1"/>
        <v>45439</v>
      </c>
    </row>
    <row r="69" spans="1:37" x14ac:dyDescent="0.2">
      <c r="A69" s="31">
        <v>1</v>
      </c>
      <c r="B69" s="31" t="s">
        <v>355</v>
      </c>
      <c r="C69" s="31" t="s">
        <v>356</v>
      </c>
      <c r="D69" s="31" t="s">
        <v>32</v>
      </c>
      <c r="E69" s="31" t="s">
        <v>42</v>
      </c>
      <c r="F69" s="31" t="s">
        <v>274</v>
      </c>
      <c r="G69" s="31" t="s">
        <v>33</v>
      </c>
      <c r="H69" s="40">
        <v>45208</v>
      </c>
      <c r="I69" s="40">
        <v>45574</v>
      </c>
      <c r="J69" s="41">
        <v>4.1000000000000002E-2</v>
      </c>
      <c r="K69" s="36" t="s">
        <v>313</v>
      </c>
      <c r="L69" s="31">
        <v>1</v>
      </c>
      <c r="M69" s="31" t="s">
        <v>43</v>
      </c>
      <c r="N69" s="31" t="s">
        <v>159</v>
      </c>
      <c r="O69" s="31" t="s">
        <v>160</v>
      </c>
      <c r="P69" s="31" t="s">
        <v>34</v>
      </c>
      <c r="W69" s="31" t="s">
        <v>35</v>
      </c>
      <c r="X69" s="31">
        <v>1</v>
      </c>
      <c r="Y69" s="31" t="s">
        <v>38</v>
      </c>
      <c r="AA69" s="21"/>
      <c r="AJ69" s="46">
        <v>45257</v>
      </c>
      <c r="AK69" s="45">
        <f t="shared" ca="1" si="1"/>
        <v>45437</v>
      </c>
    </row>
    <row r="70" spans="1:37" x14ac:dyDescent="0.2">
      <c r="A70" s="31">
        <v>1</v>
      </c>
      <c r="B70" s="31" t="s">
        <v>357</v>
      </c>
      <c r="C70" s="31" t="s">
        <v>358</v>
      </c>
      <c r="D70" s="31" t="s">
        <v>32</v>
      </c>
      <c r="E70" s="31" t="s">
        <v>142</v>
      </c>
      <c r="F70" s="31" t="s">
        <v>274</v>
      </c>
      <c r="G70" s="31" t="s">
        <v>33</v>
      </c>
      <c r="H70" s="40">
        <v>45218</v>
      </c>
      <c r="I70" s="40">
        <v>45583</v>
      </c>
      <c r="J70" s="41">
        <v>4.7600000000000003E-2</v>
      </c>
      <c r="K70" s="36" t="s">
        <v>313</v>
      </c>
      <c r="L70" s="31">
        <v>1</v>
      </c>
      <c r="M70" s="31" t="s">
        <v>143</v>
      </c>
      <c r="N70" s="31" t="s">
        <v>159</v>
      </c>
      <c r="O70" s="31" t="s">
        <v>160</v>
      </c>
      <c r="P70" s="31" t="s">
        <v>34</v>
      </c>
      <c r="W70" s="31" t="s">
        <v>35</v>
      </c>
      <c r="X70" s="31">
        <v>1</v>
      </c>
      <c r="Y70" s="31" t="s">
        <v>38</v>
      </c>
      <c r="AA70" s="21"/>
      <c r="AJ70" s="45">
        <v>45252</v>
      </c>
      <c r="AK70" s="45">
        <f t="shared" ca="1" si="1"/>
        <v>45432</v>
      </c>
    </row>
    <row r="71" spans="1:37" x14ac:dyDescent="0.2">
      <c r="J71" s="41"/>
      <c r="K71" s="42"/>
      <c r="AA71" s="21"/>
    </row>
  </sheetData>
  <phoneticPr fontId="5" type="noConversion"/>
  <conditionalFormatting sqref="B1:B1048576">
    <cfRule type="duplicateValues" dxfId="3" priority="1"/>
  </conditionalFormatting>
  <pageMargins left="0.7" right="0.7" top="0.78740157499999996" bottom="0.78740157499999996" header="0.3" footer="0.3"/>
  <customProperties>
    <customPr name="_pios_id" r:id="rId1"/>
  </customProperties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CC044-276B-41FA-A3A2-17197770ECCD}">
  <sheetPr>
    <tabColor rgb="FFFFFF00"/>
  </sheetPr>
  <dimension ref="A1:I75"/>
  <sheetViews>
    <sheetView topLeftCell="A16" workbookViewId="0">
      <selection activeCell="F46" sqref="F46"/>
    </sheetView>
  </sheetViews>
  <sheetFormatPr baseColWidth="10" defaultRowHeight="15" x14ac:dyDescent="0.25"/>
  <cols>
    <col min="3" max="3" width="17.28515625" customWidth="1"/>
    <col min="4" max="4" width="13.28515625" customWidth="1"/>
    <col min="5" max="5" width="14" customWidth="1"/>
    <col min="6" max="6" width="22.28515625" customWidth="1"/>
    <col min="7" max="7" width="18.85546875" customWidth="1"/>
  </cols>
  <sheetData>
    <row r="1" spans="1:9" x14ac:dyDescent="0.25">
      <c r="A1" s="1" t="s">
        <v>0</v>
      </c>
      <c r="B1" s="2" t="s">
        <v>1</v>
      </c>
      <c r="C1" s="3" t="s">
        <v>2</v>
      </c>
      <c r="D1" s="3" t="s">
        <v>3</v>
      </c>
      <c r="E1" s="4" t="s">
        <v>4</v>
      </c>
      <c r="F1" s="3" t="s">
        <v>5</v>
      </c>
      <c r="G1" s="5" t="s">
        <v>6</v>
      </c>
    </row>
    <row r="2" spans="1:9" x14ac:dyDescent="0.25">
      <c r="A2" s="6">
        <v>1</v>
      </c>
      <c r="B2" s="7">
        <v>1</v>
      </c>
      <c r="C2" s="8">
        <v>283140</v>
      </c>
      <c r="D2" s="8">
        <v>100</v>
      </c>
      <c r="E2" s="9" t="s">
        <v>359</v>
      </c>
      <c r="F2" s="8" t="s">
        <v>232</v>
      </c>
      <c r="G2" s="10">
        <v>186712.16</v>
      </c>
      <c r="I2" s="47"/>
    </row>
    <row r="3" spans="1:9" x14ac:dyDescent="0.25">
      <c r="A3" s="6">
        <v>1</v>
      </c>
      <c r="B3" s="7">
        <v>2</v>
      </c>
      <c r="C3" s="8">
        <v>283300</v>
      </c>
      <c r="D3" s="8">
        <v>100</v>
      </c>
      <c r="E3" s="9" t="s">
        <v>359</v>
      </c>
      <c r="F3" s="8" t="s">
        <v>232</v>
      </c>
      <c r="G3" s="10">
        <v>187402.1</v>
      </c>
      <c r="I3" s="47"/>
    </row>
    <row r="4" spans="1:9" x14ac:dyDescent="0.25">
      <c r="A4" s="6">
        <v>1</v>
      </c>
      <c r="B4" s="7">
        <v>3</v>
      </c>
      <c r="C4" s="8">
        <v>283310</v>
      </c>
      <c r="D4" s="8">
        <v>100</v>
      </c>
      <c r="E4" s="9" t="s">
        <v>359</v>
      </c>
      <c r="F4" s="8" t="s">
        <v>232</v>
      </c>
      <c r="G4" s="10">
        <v>35255.379999999997</v>
      </c>
      <c r="I4" s="47"/>
    </row>
    <row r="5" spans="1:9" x14ac:dyDescent="0.25">
      <c r="A5" s="6">
        <v>1</v>
      </c>
      <c r="B5" s="7">
        <v>4</v>
      </c>
      <c r="C5" s="8">
        <v>283239</v>
      </c>
      <c r="D5" s="8">
        <v>100</v>
      </c>
      <c r="E5" s="9" t="s">
        <v>359</v>
      </c>
      <c r="F5" s="8" t="s">
        <v>232</v>
      </c>
      <c r="G5" s="10">
        <v>12945.33</v>
      </c>
      <c r="I5" s="47"/>
    </row>
    <row r="6" spans="1:9" x14ac:dyDescent="0.25">
      <c r="A6" s="6">
        <v>1</v>
      </c>
      <c r="B6" s="7">
        <v>5</v>
      </c>
      <c r="C6" s="8">
        <v>283250</v>
      </c>
      <c r="D6" s="8">
        <v>100</v>
      </c>
      <c r="E6" s="9" t="s">
        <v>359</v>
      </c>
      <c r="F6" s="8" t="s">
        <v>232</v>
      </c>
      <c r="G6" s="10">
        <v>4272945.16</v>
      </c>
      <c r="I6" s="47"/>
    </row>
    <row r="7" spans="1:9" x14ac:dyDescent="0.25">
      <c r="A7" s="6">
        <v>1</v>
      </c>
      <c r="B7" s="7">
        <v>7</v>
      </c>
      <c r="C7" s="8" t="s">
        <v>257</v>
      </c>
      <c r="D7" s="8">
        <v>100</v>
      </c>
      <c r="E7" s="9" t="s">
        <v>360</v>
      </c>
      <c r="F7" s="8" t="s">
        <v>238</v>
      </c>
      <c r="G7" s="10">
        <v>1500000</v>
      </c>
      <c r="I7" s="47"/>
    </row>
    <row r="8" spans="1:9" x14ac:dyDescent="0.25">
      <c r="A8" s="6">
        <v>1</v>
      </c>
      <c r="B8" s="7">
        <v>8</v>
      </c>
      <c r="C8" s="8" t="s">
        <v>188</v>
      </c>
      <c r="D8" s="8">
        <v>100</v>
      </c>
      <c r="E8" s="9" t="s">
        <v>361</v>
      </c>
      <c r="F8" s="8" t="s">
        <v>238</v>
      </c>
      <c r="G8" s="10">
        <v>3000000</v>
      </c>
      <c r="I8" s="47"/>
    </row>
    <row r="9" spans="1:9" x14ac:dyDescent="0.25">
      <c r="A9" s="6">
        <v>1</v>
      </c>
      <c r="B9" s="7">
        <v>9</v>
      </c>
      <c r="C9" s="8" t="s">
        <v>193</v>
      </c>
      <c r="D9" s="8">
        <v>100</v>
      </c>
      <c r="E9" s="9" t="s">
        <v>362</v>
      </c>
      <c r="F9" s="8" t="s">
        <v>238</v>
      </c>
      <c r="G9" s="10">
        <v>3000000</v>
      </c>
      <c r="I9" s="47"/>
    </row>
    <row r="10" spans="1:9" x14ac:dyDescent="0.25">
      <c r="A10" s="6">
        <v>1</v>
      </c>
      <c r="B10" s="7">
        <v>10</v>
      </c>
      <c r="C10" s="8" t="s">
        <v>242</v>
      </c>
      <c r="D10" s="8">
        <v>100</v>
      </c>
      <c r="E10" s="9" t="s">
        <v>363</v>
      </c>
      <c r="F10" s="8" t="s">
        <v>238</v>
      </c>
      <c r="G10" s="10">
        <v>3000000</v>
      </c>
      <c r="I10" s="47"/>
    </row>
    <row r="11" spans="1:9" x14ac:dyDescent="0.25">
      <c r="A11" s="6">
        <v>1</v>
      </c>
      <c r="B11" s="7">
        <v>11</v>
      </c>
      <c r="C11" s="8">
        <v>283290</v>
      </c>
      <c r="D11" s="8">
        <v>100</v>
      </c>
      <c r="E11" s="9" t="s">
        <v>359</v>
      </c>
      <c r="F11" s="8" t="s">
        <v>232</v>
      </c>
      <c r="G11" s="10">
        <v>76394.350000000006</v>
      </c>
      <c r="I11" s="47"/>
    </row>
    <row r="12" spans="1:9" x14ac:dyDescent="0.25">
      <c r="A12" s="6">
        <v>1</v>
      </c>
      <c r="B12" s="7">
        <v>12</v>
      </c>
      <c r="C12" s="8">
        <v>283110</v>
      </c>
      <c r="D12" s="8">
        <v>100</v>
      </c>
      <c r="E12" s="9" t="s">
        <v>359</v>
      </c>
      <c r="F12" s="8" t="s">
        <v>232</v>
      </c>
      <c r="G12" s="10">
        <v>20469602.120000001</v>
      </c>
      <c r="I12" s="47"/>
    </row>
    <row r="13" spans="1:9" x14ac:dyDescent="0.25">
      <c r="A13" s="6">
        <v>1</v>
      </c>
      <c r="B13" s="7">
        <v>13</v>
      </c>
      <c r="C13" s="8">
        <v>283263</v>
      </c>
      <c r="D13" s="8">
        <v>100</v>
      </c>
      <c r="E13" s="9" t="s">
        <v>359</v>
      </c>
      <c r="F13" s="8" t="s">
        <v>232</v>
      </c>
      <c r="G13" s="10">
        <v>41639.86</v>
      </c>
      <c r="I13" s="47"/>
    </row>
    <row r="14" spans="1:9" x14ac:dyDescent="0.25">
      <c r="A14" s="6">
        <v>1</v>
      </c>
      <c r="B14" s="7">
        <v>14</v>
      </c>
      <c r="C14" s="8">
        <v>283264</v>
      </c>
      <c r="D14" s="8">
        <v>100</v>
      </c>
      <c r="E14" s="9" t="s">
        <v>359</v>
      </c>
      <c r="F14" s="8" t="s">
        <v>232</v>
      </c>
      <c r="G14" s="10">
        <v>3065.24</v>
      </c>
      <c r="I14" s="47"/>
    </row>
    <row r="15" spans="1:9" x14ac:dyDescent="0.25">
      <c r="A15" s="6">
        <v>1</v>
      </c>
      <c r="B15" s="7">
        <v>15</v>
      </c>
      <c r="C15" s="11">
        <v>283112</v>
      </c>
      <c r="D15" s="8">
        <v>100</v>
      </c>
      <c r="E15" s="9" t="s">
        <v>359</v>
      </c>
      <c r="F15" s="8" t="s">
        <v>232</v>
      </c>
      <c r="G15" s="10">
        <v>107368.53</v>
      </c>
      <c r="I15" s="47"/>
    </row>
    <row r="16" spans="1:9" x14ac:dyDescent="0.25">
      <c r="A16" s="6">
        <v>1</v>
      </c>
      <c r="B16" s="7">
        <v>16</v>
      </c>
      <c r="C16" s="8">
        <v>283132</v>
      </c>
      <c r="D16" s="8">
        <v>100</v>
      </c>
      <c r="E16" s="9" t="s">
        <v>359</v>
      </c>
      <c r="F16" s="8" t="s">
        <v>232</v>
      </c>
      <c r="G16" s="10">
        <v>60666.97</v>
      </c>
      <c r="I16" s="47"/>
    </row>
    <row r="17" spans="1:9" x14ac:dyDescent="0.25">
      <c r="A17" s="6">
        <v>1</v>
      </c>
      <c r="B17" s="7">
        <v>17</v>
      </c>
      <c r="C17" s="8" t="s">
        <v>196</v>
      </c>
      <c r="D17" s="8">
        <v>100</v>
      </c>
      <c r="E17" s="9" t="s">
        <v>364</v>
      </c>
      <c r="F17" s="8" t="s">
        <v>238</v>
      </c>
      <c r="G17" s="10">
        <v>3000000</v>
      </c>
      <c r="I17" s="47"/>
    </row>
    <row r="18" spans="1:9" x14ac:dyDescent="0.25">
      <c r="A18" s="6">
        <v>1</v>
      </c>
      <c r="B18" s="7">
        <v>18</v>
      </c>
      <c r="C18" s="8" t="s">
        <v>196</v>
      </c>
      <c r="D18" s="8">
        <v>100.4</v>
      </c>
      <c r="E18" s="9" t="s">
        <v>364</v>
      </c>
      <c r="F18" s="8" t="s">
        <v>238</v>
      </c>
      <c r="G18" s="10">
        <v>2000000</v>
      </c>
      <c r="I18" s="47"/>
    </row>
    <row r="19" spans="1:9" x14ac:dyDescent="0.25">
      <c r="A19" s="6">
        <v>1</v>
      </c>
      <c r="B19" s="7">
        <v>19</v>
      </c>
      <c r="C19" s="8" t="s">
        <v>203</v>
      </c>
      <c r="D19" s="8">
        <v>99.65</v>
      </c>
      <c r="E19" s="9" t="s">
        <v>365</v>
      </c>
      <c r="F19" s="8" t="s">
        <v>238</v>
      </c>
      <c r="G19" s="10">
        <v>3000000</v>
      </c>
      <c r="I19" s="47"/>
    </row>
    <row r="20" spans="1:9" x14ac:dyDescent="0.25">
      <c r="A20" s="6">
        <v>1</v>
      </c>
      <c r="B20" s="7">
        <v>20</v>
      </c>
      <c r="C20" s="8">
        <v>283100</v>
      </c>
      <c r="D20" s="8">
        <v>100</v>
      </c>
      <c r="E20" s="9" t="s">
        <v>359</v>
      </c>
      <c r="F20" s="8" t="s">
        <v>232</v>
      </c>
      <c r="G20" s="10">
        <v>27247553.399999999</v>
      </c>
      <c r="I20" s="47"/>
    </row>
    <row r="21" spans="1:9" x14ac:dyDescent="0.25">
      <c r="A21" s="6">
        <v>1</v>
      </c>
      <c r="B21" s="7">
        <v>21</v>
      </c>
      <c r="C21" s="8" t="s">
        <v>46</v>
      </c>
      <c r="D21" s="8">
        <v>100</v>
      </c>
      <c r="E21" s="9" t="s">
        <v>366</v>
      </c>
      <c r="F21" s="8" t="s">
        <v>238</v>
      </c>
      <c r="G21" s="10">
        <v>1000000</v>
      </c>
      <c r="I21" s="47"/>
    </row>
    <row r="22" spans="1:9" x14ac:dyDescent="0.25">
      <c r="A22" s="6">
        <v>1</v>
      </c>
      <c r="B22" s="7">
        <v>22</v>
      </c>
      <c r="C22" s="8">
        <v>283241</v>
      </c>
      <c r="D22" s="8">
        <v>100</v>
      </c>
      <c r="E22" s="9" t="s">
        <v>359</v>
      </c>
      <c r="F22" s="8" t="s">
        <v>232</v>
      </c>
      <c r="G22" s="10">
        <v>4275945.09</v>
      </c>
      <c r="I22" s="47"/>
    </row>
    <row r="23" spans="1:9" x14ac:dyDescent="0.25">
      <c r="A23" s="6">
        <v>1</v>
      </c>
      <c r="B23" s="7">
        <v>23</v>
      </c>
      <c r="C23" s="8">
        <v>283246</v>
      </c>
      <c r="D23" s="8">
        <v>100</v>
      </c>
      <c r="E23" s="9" t="s">
        <v>367</v>
      </c>
      <c r="F23" s="8" t="s">
        <v>232</v>
      </c>
      <c r="G23" s="10">
        <v>10050769.029999999</v>
      </c>
      <c r="I23" s="47"/>
    </row>
    <row r="24" spans="1:9" x14ac:dyDescent="0.25">
      <c r="A24" s="6">
        <v>1</v>
      </c>
      <c r="B24" s="7">
        <v>24</v>
      </c>
      <c r="C24" s="8" t="s">
        <v>51</v>
      </c>
      <c r="D24" s="8">
        <v>100</v>
      </c>
      <c r="E24" s="9" t="s">
        <v>368</v>
      </c>
      <c r="F24" s="8" t="s">
        <v>238</v>
      </c>
      <c r="G24" s="10">
        <v>4669500</v>
      </c>
      <c r="I24" s="47"/>
    </row>
    <row r="25" spans="1:9" x14ac:dyDescent="0.25">
      <c r="A25" s="6">
        <v>1</v>
      </c>
      <c r="B25" s="7">
        <v>25</v>
      </c>
      <c r="C25" s="8" t="s">
        <v>255</v>
      </c>
      <c r="D25" s="8">
        <v>100</v>
      </c>
      <c r="E25" s="9" t="s">
        <v>369</v>
      </c>
      <c r="F25" s="8" t="s">
        <v>238</v>
      </c>
      <c r="G25" s="10">
        <v>1200000</v>
      </c>
      <c r="I25" s="47"/>
    </row>
    <row r="26" spans="1:9" x14ac:dyDescent="0.25">
      <c r="A26" s="6">
        <v>1</v>
      </c>
      <c r="B26" s="7">
        <v>26</v>
      </c>
      <c r="C26" s="8" t="s">
        <v>74</v>
      </c>
      <c r="D26" s="8">
        <v>100</v>
      </c>
      <c r="E26" s="9" t="s">
        <v>370</v>
      </c>
      <c r="F26" s="8" t="s">
        <v>238</v>
      </c>
      <c r="G26" s="10">
        <v>1500000</v>
      </c>
      <c r="I26" s="47"/>
    </row>
    <row r="27" spans="1:9" x14ac:dyDescent="0.25">
      <c r="A27" s="6">
        <v>1</v>
      </c>
      <c r="B27" s="7">
        <v>27</v>
      </c>
      <c r="C27" s="8" t="s">
        <v>55</v>
      </c>
      <c r="D27" s="8">
        <v>94.2</v>
      </c>
      <c r="E27" s="9" t="s">
        <v>371</v>
      </c>
      <c r="F27" s="8" t="s">
        <v>238</v>
      </c>
      <c r="G27" s="10">
        <v>3200000</v>
      </c>
      <c r="I27" s="47"/>
    </row>
    <row r="28" spans="1:9" x14ac:dyDescent="0.25">
      <c r="A28" s="6">
        <v>1</v>
      </c>
      <c r="B28" s="7">
        <v>28</v>
      </c>
      <c r="C28" s="8" t="s">
        <v>57</v>
      </c>
      <c r="D28" s="8">
        <v>99.49</v>
      </c>
      <c r="E28" s="9" t="s">
        <v>372</v>
      </c>
      <c r="F28" s="8" t="s">
        <v>238</v>
      </c>
      <c r="G28" s="10">
        <v>2000000</v>
      </c>
      <c r="I28" s="47"/>
    </row>
    <row r="29" spans="1:9" x14ac:dyDescent="0.25">
      <c r="A29" s="6">
        <v>1</v>
      </c>
      <c r="B29" s="7">
        <v>29</v>
      </c>
      <c r="C29" s="8" t="s">
        <v>59</v>
      </c>
      <c r="D29" s="8">
        <v>99.39</v>
      </c>
      <c r="E29" s="9" t="s">
        <v>373</v>
      </c>
      <c r="F29" s="8" t="s">
        <v>238</v>
      </c>
      <c r="G29" s="10">
        <v>1000000</v>
      </c>
      <c r="I29" s="47"/>
    </row>
    <row r="30" spans="1:9" x14ac:dyDescent="0.25">
      <c r="A30" s="6">
        <v>1</v>
      </c>
      <c r="B30" s="7">
        <v>30</v>
      </c>
      <c r="C30" t="s">
        <v>199</v>
      </c>
      <c r="D30" s="8">
        <v>99.7</v>
      </c>
      <c r="E30" s="9" t="s">
        <v>374</v>
      </c>
      <c r="F30" s="8" t="s">
        <v>238</v>
      </c>
      <c r="G30" s="10">
        <v>5000000</v>
      </c>
      <c r="I30" s="47"/>
    </row>
    <row r="31" spans="1:9" x14ac:dyDescent="0.25">
      <c r="A31" s="6">
        <v>1</v>
      </c>
      <c r="B31" s="7">
        <v>31</v>
      </c>
      <c r="C31" t="s">
        <v>66</v>
      </c>
      <c r="D31" s="8">
        <v>100</v>
      </c>
      <c r="E31" s="9" t="s">
        <v>375</v>
      </c>
      <c r="F31" s="8" t="s">
        <v>238</v>
      </c>
      <c r="G31" s="10">
        <v>3000000</v>
      </c>
      <c r="I31" s="47"/>
    </row>
    <row r="32" spans="1:9" x14ac:dyDescent="0.25">
      <c r="A32" s="6">
        <v>1</v>
      </c>
      <c r="B32" s="7">
        <v>32</v>
      </c>
      <c r="C32">
        <v>283340</v>
      </c>
      <c r="D32" s="8">
        <v>100</v>
      </c>
      <c r="E32" s="9" t="s">
        <v>359</v>
      </c>
      <c r="F32" s="8" t="s">
        <v>232</v>
      </c>
      <c r="G32" s="10">
        <v>185188.4</v>
      </c>
      <c r="I32" s="47"/>
    </row>
    <row r="33" spans="1:9" x14ac:dyDescent="0.25">
      <c r="A33" s="6">
        <v>1</v>
      </c>
      <c r="B33" s="7">
        <v>33</v>
      </c>
      <c r="C33" t="s">
        <v>206</v>
      </c>
      <c r="D33" s="8">
        <v>100</v>
      </c>
      <c r="E33" s="9" t="s">
        <v>376</v>
      </c>
      <c r="F33" s="8" t="s">
        <v>238</v>
      </c>
      <c r="G33" s="10">
        <v>3000000</v>
      </c>
      <c r="I33" s="47"/>
    </row>
    <row r="34" spans="1:9" x14ac:dyDescent="0.25">
      <c r="A34" s="6">
        <v>1</v>
      </c>
      <c r="B34" s="7">
        <v>34</v>
      </c>
      <c r="C34">
        <v>283350</v>
      </c>
      <c r="D34" s="8">
        <v>100</v>
      </c>
      <c r="E34" s="9" t="s">
        <v>359</v>
      </c>
      <c r="F34" s="8" t="s">
        <v>232</v>
      </c>
      <c r="G34" s="10">
        <v>10000</v>
      </c>
      <c r="I34" s="47"/>
    </row>
    <row r="35" spans="1:9" x14ac:dyDescent="0.25">
      <c r="A35" s="6">
        <v>1</v>
      </c>
      <c r="B35" s="7">
        <v>35</v>
      </c>
      <c r="C35" t="s">
        <v>76</v>
      </c>
      <c r="D35" s="8">
        <v>97.76</v>
      </c>
      <c r="E35" s="9" t="s">
        <v>377</v>
      </c>
      <c r="F35" s="8" t="s">
        <v>238</v>
      </c>
      <c r="G35" s="10">
        <v>1000000</v>
      </c>
      <c r="I35" s="47"/>
    </row>
    <row r="36" spans="1:9" x14ac:dyDescent="0.25">
      <c r="A36" s="6">
        <v>1</v>
      </c>
      <c r="B36" s="7">
        <v>36</v>
      </c>
      <c r="C36" t="s">
        <v>76</v>
      </c>
      <c r="D36" s="8">
        <v>98</v>
      </c>
      <c r="E36" s="9" t="s">
        <v>377</v>
      </c>
      <c r="F36" s="8" t="s">
        <v>238</v>
      </c>
      <c r="G36" s="10">
        <v>1000000</v>
      </c>
      <c r="I36" s="47"/>
    </row>
    <row r="37" spans="1:9" x14ac:dyDescent="0.25">
      <c r="A37" s="6">
        <v>1</v>
      </c>
      <c r="B37" s="7">
        <v>37</v>
      </c>
      <c r="C37" t="s">
        <v>80</v>
      </c>
      <c r="D37" s="8">
        <v>97.2</v>
      </c>
      <c r="E37" s="9" t="s">
        <v>378</v>
      </c>
      <c r="F37" s="8" t="s">
        <v>238</v>
      </c>
      <c r="G37" s="10">
        <v>1000000</v>
      </c>
      <c r="I37" s="47"/>
    </row>
    <row r="38" spans="1:9" x14ac:dyDescent="0.25">
      <c r="A38" s="6">
        <v>1</v>
      </c>
      <c r="B38" s="7">
        <v>38</v>
      </c>
      <c r="C38" t="s">
        <v>84</v>
      </c>
      <c r="D38" s="8">
        <v>93.8</v>
      </c>
      <c r="E38" s="9" t="s">
        <v>378</v>
      </c>
      <c r="F38" s="8" t="s">
        <v>238</v>
      </c>
      <c r="G38" s="10">
        <v>1000000</v>
      </c>
      <c r="I38" s="47"/>
    </row>
    <row r="39" spans="1:9" x14ac:dyDescent="0.25">
      <c r="A39" s="6">
        <v>1</v>
      </c>
      <c r="B39" s="7">
        <v>39</v>
      </c>
      <c r="C39" t="s">
        <v>86</v>
      </c>
      <c r="D39" s="8">
        <v>95.75</v>
      </c>
      <c r="E39" s="9" t="s">
        <v>379</v>
      </c>
      <c r="F39" s="8" t="s">
        <v>238</v>
      </c>
      <c r="G39" s="10">
        <v>1000000</v>
      </c>
      <c r="I39" s="47"/>
    </row>
    <row r="40" spans="1:9" x14ac:dyDescent="0.25">
      <c r="A40" s="6">
        <v>1</v>
      </c>
      <c r="B40" s="7">
        <v>40</v>
      </c>
      <c r="C40" t="s">
        <v>90</v>
      </c>
      <c r="D40" s="8">
        <v>98.61</v>
      </c>
      <c r="E40" s="9" t="s">
        <v>379</v>
      </c>
      <c r="F40" s="8" t="s">
        <v>238</v>
      </c>
      <c r="G40" s="10">
        <v>1000000</v>
      </c>
      <c r="I40" s="47"/>
    </row>
    <row r="41" spans="1:9" x14ac:dyDescent="0.25">
      <c r="A41" s="6">
        <v>1</v>
      </c>
      <c r="B41" s="7">
        <v>41</v>
      </c>
      <c r="C41" t="s">
        <v>95</v>
      </c>
      <c r="D41" s="8">
        <v>95.626999999999995</v>
      </c>
      <c r="E41" s="9" t="s">
        <v>380</v>
      </c>
      <c r="F41" s="8" t="s">
        <v>238</v>
      </c>
      <c r="G41" s="10">
        <v>1000000</v>
      </c>
      <c r="I41" s="47"/>
    </row>
    <row r="42" spans="1:9" x14ac:dyDescent="0.25">
      <c r="A42" s="6">
        <v>1</v>
      </c>
      <c r="B42" s="7">
        <v>42</v>
      </c>
      <c r="C42" t="s">
        <v>99</v>
      </c>
      <c r="D42" s="8">
        <v>94.53</v>
      </c>
      <c r="E42" s="9" t="s">
        <v>380</v>
      </c>
      <c r="F42" s="8" t="s">
        <v>238</v>
      </c>
      <c r="G42" s="10">
        <v>1000000</v>
      </c>
      <c r="I42" s="47"/>
    </row>
    <row r="43" spans="1:9" x14ac:dyDescent="0.25">
      <c r="A43" s="6">
        <v>1</v>
      </c>
      <c r="B43" s="7">
        <v>43</v>
      </c>
      <c r="C43" t="s">
        <v>103</v>
      </c>
      <c r="D43" s="8">
        <v>91.65</v>
      </c>
      <c r="E43" s="9" t="s">
        <v>380</v>
      </c>
      <c r="F43" s="8" t="s">
        <v>238</v>
      </c>
      <c r="G43" s="10">
        <v>1000000</v>
      </c>
      <c r="I43" s="47"/>
    </row>
    <row r="44" spans="1:9" x14ac:dyDescent="0.25">
      <c r="A44" s="6">
        <v>1</v>
      </c>
      <c r="B44" s="7">
        <v>44</v>
      </c>
      <c r="C44" t="s">
        <v>107</v>
      </c>
      <c r="D44" s="8">
        <v>99.55</v>
      </c>
      <c r="E44" s="9" t="s">
        <v>381</v>
      </c>
      <c r="F44" s="8" t="s">
        <v>238</v>
      </c>
      <c r="G44" s="10">
        <v>1000000</v>
      </c>
      <c r="I44" s="47"/>
    </row>
    <row r="45" spans="1:9" x14ac:dyDescent="0.25">
      <c r="A45" s="6">
        <v>1</v>
      </c>
      <c r="B45" s="7">
        <v>45</v>
      </c>
      <c r="C45" t="s">
        <v>209</v>
      </c>
      <c r="D45" s="8">
        <v>99.35</v>
      </c>
      <c r="E45" s="9" t="s">
        <v>382</v>
      </c>
      <c r="F45" s="8" t="s">
        <v>238</v>
      </c>
      <c r="G45" s="10">
        <v>1000000</v>
      </c>
      <c r="I45" s="47"/>
    </row>
    <row r="46" spans="1:9" x14ac:dyDescent="0.25">
      <c r="A46" s="6">
        <v>1</v>
      </c>
      <c r="B46" s="7">
        <v>46</v>
      </c>
      <c r="C46" t="s">
        <v>111</v>
      </c>
      <c r="D46" s="8">
        <v>99.58</v>
      </c>
      <c r="E46" s="9" t="s">
        <v>381</v>
      </c>
      <c r="F46" s="8" t="s">
        <v>238</v>
      </c>
      <c r="G46" s="10">
        <v>1000000</v>
      </c>
      <c r="I46" s="47"/>
    </row>
    <row r="47" spans="1:9" x14ac:dyDescent="0.25">
      <c r="A47" s="6">
        <v>1</v>
      </c>
      <c r="B47" s="7">
        <v>47</v>
      </c>
      <c r="C47" t="s">
        <v>115</v>
      </c>
      <c r="D47" s="8">
        <v>99.8</v>
      </c>
      <c r="E47" s="9" t="s">
        <v>383</v>
      </c>
      <c r="F47" s="8" t="s">
        <v>238</v>
      </c>
      <c r="G47" s="10">
        <v>1000000</v>
      </c>
      <c r="I47" s="47"/>
    </row>
    <row r="48" spans="1:9" x14ac:dyDescent="0.25">
      <c r="A48" s="6">
        <v>1</v>
      </c>
      <c r="B48" s="7">
        <v>48</v>
      </c>
      <c r="C48" t="s">
        <v>119</v>
      </c>
      <c r="D48" s="8">
        <v>100</v>
      </c>
      <c r="E48" s="9" t="s">
        <v>384</v>
      </c>
      <c r="F48" s="8" t="s">
        <v>238</v>
      </c>
      <c r="G48" s="10">
        <v>1000000</v>
      </c>
      <c r="I48" s="47"/>
    </row>
    <row r="49" spans="1:9" x14ac:dyDescent="0.25">
      <c r="A49" s="6">
        <v>1</v>
      </c>
      <c r="B49" s="7">
        <v>49</v>
      </c>
      <c r="C49" t="s">
        <v>121</v>
      </c>
      <c r="D49" s="8">
        <v>100</v>
      </c>
      <c r="E49" s="9" t="s">
        <v>385</v>
      </c>
      <c r="F49" s="8" t="s">
        <v>238</v>
      </c>
      <c r="G49" s="10">
        <v>1000000</v>
      </c>
      <c r="I49" s="47"/>
    </row>
    <row r="50" spans="1:9" x14ac:dyDescent="0.25">
      <c r="A50" s="6">
        <v>1</v>
      </c>
      <c r="B50" s="7">
        <v>50</v>
      </c>
      <c r="C50" t="s">
        <v>119</v>
      </c>
      <c r="D50" s="8">
        <v>100</v>
      </c>
      <c r="E50" s="9" t="s">
        <v>384</v>
      </c>
      <c r="F50" s="8" t="s">
        <v>238</v>
      </c>
      <c r="G50" s="10">
        <v>1000000</v>
      </c>
      <c r="I50" s="47"/>
    </row>
    <row r="51" spans="1:9" x14ac:dyDescent="0.25">
      <c r="A51" s="6">
        <v>1</v>
      </c>
      <c r="B51" s="7">
        <v>51</v>
      </c>
      <c r="C51" t="s">
        <v>123</v>
      </c>
      <c r="D51" s="8">
        <v>100</v>
      </c>
      <c r="E51" s="9" t="s">
        <v>386</v>
      </c>
      <c r="F51" s="8" t="s">
        <v>238</v>
      </c>
      <c r="G51" s="10">
        <v>1000000</v>
      </c>
      <c r="I51" s="47"/>
    </row>
    <row r="52" spans="1:9" x14ac:dyDescent="0.25">
      <c r="A52" s="6">
        <v>1</v>
      </c>
      <c r="B52" s="7">
        <v>52</v>
      </c>
      <c r="C52" t="s">
        <v>213</v>
      </c>
      <c r="D52" s="8">
        <v>100</v>
      </c>
      <c r="E52" s="9" t="s">
        <v>387</v>
      </c>
      <c r="F52" s="8" t="s">
        <v>238</v>
      </c>
      <c r="G52" s="10">
        <v>1000000</v>
      </c>
      <c r="I52" s="47"/>
    </row>
    <row r="53" spans="1:9" x14ac:dyDescent="0.25">
      <c r="A53" s="6">
        <v>1</v>
      </c>
      <c r="B53" s="7">
        <v>53</v>
      </c>
      <c r="C53" t="s">
        <v>127</v>
      </c>
      <c r="D53" s="8">
        <v>92.81</v>
      </c>
      <c r="E53" s="9" t="s">
        <v>388</v>
      </c>
      <c r="F53" s="8" t="s">
        <v>238</v>
      </c>
      <c r="G53" s="10">
        <v>1000000</v>
      </c>
      <c r="I53" s="47"/>
    </row>
    <row r="54" spans="1:9" x14ac:dyDescent="0.25">
      <c r="A54" s="6">
        <v>1</v>
      </c>
      <c r="B54" s="7">
        <v>54</v>
      </c>
      <c r="C54" t="s">
        <v>131</v>
      </c>
      <c r="D54" s="8">
        <v>100</v>
      </c>
      <c r="E54" s="9" t="s">
        <v>389</v>
      </c>
      <c r="F54" s="8" t="s">
        <v>238</v>
      </c>
      <c r="G54" s="10">
        <v>3000000</v>
      </c>
      <c r="I54" s="47"/>
    </row>
    <row r="55" spans="1:9" x14ac:dyDescent="0.25">
      <c r="A55" s="6">
        <v>1</v>
      </c>
      <c r="B55" s="7">
        <v>55</v>
      </c>
      <c r="C55" t="s">
        <v>135</v>
      </c>
      <c r="D55" s="8">
        <v>93.1</v>
      </c>
      <c r="E55" s="9" t="s">
        <v>390</v>
      </c>
      <c r="F55" s="8" t="s">
        <v>238</v>
      </c>
      <c r="G55" s="10">
        <v>600000</v>
      </c>
      <c r="I55" s="47"/>
    </row>
    <row r="56" spans="1:9" x14ac:dyDescent="0.25">
      <c r="A56" s="6">
        <v>1</v>
      </c>
      <c r="B56" s="7">
        <v>56</v>
      </c>
      <c r="C56" t="s">
        <v>135</v>
      </c>
      <c r="D56" s="8">
        <v>93.07</v>
      </c>
      <c r="E56" s="9" t="s">
        <v>390</v>
      </c>
      <c r="F56" s="8" t="s">
        <v>238</v>
      </c>
      <c r="G56" s="10">
        <v>400000</v>
      </c>
      <c r="I56" s="47"/>
    </row>
    <row r="57" spans="1:9" x14ac:dyDescent="0.25">
      <c r="A57" s="6">
        <v>1</v>
      </c>
      <c r="B57" s="7">
        <v>57</v>
      </c>
      <c r="C57" t="s">
        <v>137</v>
      </c>
      <c r="D57" s="8">
        <v>96.99</v>
      </c>
      <c r="E57" s="9" t="s">
        <v>391</v>
      </c>
      <c r="F57" s="8" t="s">
        <v>238</v>
      </c>
      <c r="G57" s="10">
        <v>1000000</v>
      </c>
      <c r="I57" s="47"/>
    </row>
    <row r="58" spans="1:9" x14ac:dyDescent="0.25">
      <c r="A58" s="6">
        <v>1</v>
      </c>
      <c r="B58" s="7">
        <v>58</v>
      </c>
      <c r="C58" t="s">
        <v>139</v>
      </c>
      <c r="D58" s="8">
        <v>97</v>
      </c>
      <c r="E58" s="9" t="s">
        <v>392</v>
      </c>
      <c r="F58" s="8" t="s">
        <v>238</v>
      </c>
      <c r="G58" s="10">
        <v>500000</v>
      </c>
      <c r="I58" s="47"/>
    </row>
    <row r="59" spans="1:9" x14ac:dyDescent="0.25">
      <c r="A59" s="6">
        <v>1</v>
      </c>
      <c r="B59" s="7">
        <v>59</v>
      </c>
      <c r="C59" t="s">
        <v>263</v>
      </c>
      <c r="D59" s="8">
        <v>96</v>
      </c>
      <c r="E59" s="9" t="s">
        <v>393</v>
      </c>
      <c r="F59" s="8" t="s">
        <v>238</v>
      </c>
      <c r="G59" s="10">
        <v>1000000</v>
      </c>
      <c r="I59" s="47"/>
    </row>
    <row r="60" spans="1:9" x14ac:dyDescent="0.25">
      <c r="A60" s="6">
        <v>1</v>
      </c>
      <c r="B60" s="7">
        <v>60</v>
      </c>
      <c r="C60" t="s">
        <v>121</v>
      </c>
      <c r="D60" s="8">
        <v>97.15</v>
      </c>
      <c r="E60" s="9" t="s">
        <v>385</v>
      </c>
      <c r="F60" s="8" t="s">
        <v>238</v>
      </c>
      <c r="G60" s="10">
        <v>1000000</v>
      </c>
      <c r="I60" s="47"/>
    </row>
    <row r="61" spans="1:9" x14ac:dyDescent="0.25">
      <c r="A61" s="6">
        <v>1</v>
      </c>
      <c r="B61" s="7">
        <v>61</v>
      </c>
      <c r="C61" t="s">
        <v>265</v>
      </c>
      <c r="D61" s="8">
        <v>100</v>
      </c>
      <c r="E61" s="9" t="s">
        <v>394</v>
      </c>
      <c r="F61" s="8" t="s">
        <v>238</v>
      </c>
      <c r="G61" s="10">
        <v>1000000</v>
      </c>
      <c r="I61" s="47"/>
    </row>
    <row r="62" spans="1:9" x14ac:dyDescent="0.25">
      <c r="A62" s="6">
        <v>1</v>
      </c>
      <c r="B62" s="7">
        <v>62</v>
      </c>
      <c r="C62" t="s">
        <v>267</v>
      </c>
      <c r="D62" s="8">
        <v>100</v>
      </c>
      <c r="E62" s="9" t="s">
        <v>395</v>
      </c>
      <c r="F62" s="8" t="s">
        <v>238</v>
      </c>
      <c r="G62" s="10">
        <v>1000000</v>
      </c>
      <c r="I62" s="47"/>
    </row>
    <row r="63" spans="1:9" x14ac:dyDescent="0.25">
      <c r="A63" s="6">
        <v>1</v>
      </c>
      <c r="B63" s="7">
        <v>63</v>
      </c>
      <c r="C63" t="s">
        <v>269</v>
      </c>
      <c r="D63" s="8">
        <v>100</v>
      </c>
      <c r="E63" s="9" t="s">
        <v>396</v>
      </c>
      <c r="F63" s="8" t="s">
        <v>238</v>
      </c>
      <c r="G63" s="10">
        <v>1000000</v>
      </c>
      <c r="I63" s="47"/>
    </row>
    <row r="64" spans="1:9" x14ac:dyDescent="0.25">
      <c r="A64" s="6">
        <v>1</v>
      </c>
      <c r="B64" s="7">
        <v>64</v>
      </c>
      <c r="C64" t="s">
        <v>271</v>
      </c>
      <c r="D64" s="8">
        <v>100</v>
      </c>
      <c r="E64" s="9" t="s">
        <v>397</v>
      </c>
      <c r="F64" s="8" t="s">
        <v>238</v>
      </c>
      <c r="G64" s="10">
        <v>1000000</v>
      </c>
      <c r="I64" s="47"/>
    </row>
    <row r="65" spans="1:9" x14ac:dyDescent="0.25">
      <c r="A65" s="6">
        <v>1</v>
      </c>
      <c r="B65" s="7">
        <v>65</v>
      </c>
      <c r="C65" t="s">
        <v>336</v>
      </c>
      <c r="D65" s="8">
        <v>98.64</v>
      </c>
      <c r="E65" s="9" t="s">
        <v>398</v>
      </c>
      <c r="F65" s="8" t="s">
        <v>238</v>
      </c>
      <c r="G65" s="10">
        <v>2000000</v>
      </c>
      <c r="I65" s="47"/>
    </row>
    <row r="66" spans="1:9" x14ac:dyDescent="0.25">
      <c r="A66" s="6">
        <v>1</v>
      </c>
      <c r="B66" s="7">
        <v>66</v>
      </c>
      <c r="C66" t="s">
        <v>341</v>
      </c>
      <c r="D66" s="8">
        <v>93.03</v>
      </c>
      <c r="E66" s="9" t="s">
        <v>398</v>
      </c>
      <c r="F66" s="8" t="s">
        <v>238</v>
      </c>
      <c r="G66" s="10">
        <v>2000000</v>
      </c>
      <c r="I66" s="47"/>
    </row>
    <row r="67" spans="1:9" x14ac:dyDescent="0.25">
      <c r="A67" s="6">
        <v>1</v>
      </c>
      <c r="B67" s="7">
        <v>67</v>
      </c>
      <c r="C67">
        <v>2017009</v>
      </c>
      <c r="D67" s="8">
        <v>100</v>
      </c>
      <c r="E67" s="9" t="s">
        <v>399</v>
      </c>
      <c r="F67" s="8" t="s">
        <v>274</v>
      </c>
      <c r="G67" s="10">
        <v>1051809.8</v>
      </c>
      <c r="I67" s="47"/>
    </row>
    <row r="68" spans="1:9" x14ac:dyDescent="0.25">
      <c r="A68" s="6">
        <v>1</v>
      </c>
      <c r="B68" s="7">
        <v>68</v>
      </c>
      <c r="C68">
        <v>2023016</v>
      </c>
      <c r="D68" s="8">
        <v>100</v>
      </c>
      <c r="E68" s="9" t="s">
        <v>400</v>
      </c>
      <c r="F68" s="8" t="s">
        <v>274</v>
      </c>
      <c r="G68" s="10">
        <v>1000000</v>
      </c>
      <c r="I68" s="47"/>
    </row>
    <row r="69" spans="1:9" x14ac:dyDescent="0.25">
      <c r="A69" s="6">
        <v>1</v>
      </c>
      <c r="B69" s="7">
        <v>69</v>
      </c>
      <c r="C69">
        <v>2023023</v>
      </c>
      <c r="D69" s="8">
        <v>100</v>
      </c>
      <c r="E69" s="9" t="s">
        <v>401</v>
      </c>
      <c r="F69" s="8" t="s">
        <v>274</v>
      </c>
      <c r="G69" s="10">
        <v>1000000</v>
      </c>
      <c r="I69" s="47"/>
    </row>
    <row r="70" spans="1:9" x14ac:dyDescent="0.25">
      <c r="A70" s="6">
        <v>1</v>
      </c>
      <c r="B70" s="7">
        <v>70</v>
      </c>
      <c r="C70">
        <v>2023004</v>
      </c>
      <c r="D70" s="8">
        <v>100</v>
      </c>
      <c r="E70" s="9" t="s">
        <v>402</v>
      </c>
      <c r="F70" s="8" t="s">
        <v>274</v>
      </c>
      <c r="G70" s="10">
        <v>1000000</v>
      </c>
      <c r="I70" s="47"/>
    </row>
    <row r="71" spans="1:9" x14ac:dyDescent="0.25">
      <c r="A71" s="6">
        <v>1</v>
      </c>
      <c r="B71" s="7">
        <v>71</v>
      </c>
      <c r="C71">
        <v>2023005</v>
      </c>
      <c r="D71" s="8">
        <v>100</v>
      </c>
      <c r="E71" s="9" t="s">
        <v>403</v>
      </c>
      <c r="F71" s="8" t="s">
        <v>274</v>
      </c>
      <c r="G71" s="10">
        <v>2000000</v>
      </c>
      <c r="I71" s="47"/>
    </row>
    <row r="72" spans="1:9" x14ac:dyDescent="0.25">
      <c r="A72" s="6">
        <v>1</v>
      </c>
      <c r="B72" s="7">
        <v>72</v>
      </c>
      <c r="C72">
        <v>2023024</v>
      </c>
      <c r="D72" s="8">
        <v>100</v>
      </c>
      <c r="E72" s="9" t="s">
        <v>404</v>
      </c>
      <c r="F72" s="8" t="s">
        <v>274</v>
      </c>
      <c r="G72" s="10">
        <v>2000000</v>
      </c>
      <c r="I72" s="47"/>
    </row>
    <row r="73" spans="1:9" x14ac:dyDescent="0.25">
      <c r="A73" s="6">
        <v>1</v>
      </c>
      <c r="B73" s="7">
        <v>73</v>
      </c>
      <c r="C73">
        <v>2023017</v>
      </c>
      <c r="D73" s="8">
        <v>100</v>
      </c>
      <c r="E73" s="9" t="s">
        <v>405</v>
      </c>
      <c r="F73" s="8" t="s">
        <v>274</v>
      </c>
      <c r="G73" s="10">
        <v>11208000</v>
      </c>
      <c r="I73" s="47"/>
    </row>
    <row r="74" spans="1:9" x14ac:dyDescent="0.25">
      <c r="A74" s="6">
        <v>1</v>
      </c>
      <c r="B74" s="7">
        <v>74</v>
      </c>
      <c r="C74">
        <v>2023018</v>
      </c>
      <c r="D74" s="8">
        <v>100</v>
      </c>
      <c r="E74" s="9" t="s">
        <v>406</v>
      </c>
      <c r="F74" s="8" t="s">
        <v>274</v>
      </c>
      <c r="G74" s="10">
        <v>4000000</v>
      </c>
      <c r="I74" s="47"/>
    </row>
    <row r="75" spans="1:9" x14ac:dyDescent="0.25">
      <c r="A75" s="6">
        <v>1</v>
      </c>
      <c r="B75" s="7">
        <v>75</v>
      </c>
      <c r="C75">
        <v>2023019</v>
      </c>
      <c r="D75" s="8">
        <v>100</v>
      </c>
      <c r="E75" s="9" t="s">
        <v>407</v>
      </c>
      <c r="F75" s="8" t="s">
        <v>274</v>
      </c>
      <c r="G75" s="10">
        <v>1000000</v>
      </c>
      <c r="I75" s="47"/>
    </row>
  </sheetData>
  <autoFilter ref="A1:G75" xr:uid="{95ACC044-276B-41FA-A3A2-17197770ECCD}">
    <sortState xmlns:xlrd2="http://schemas.microsoft.com/office/spreadsheetml/2017/richdata2" ref="A2:G75">
      <sortCondition ref="B1:B75"/>
    </sortState>
  </autoFilter>
  <sortState xmlns:xlrd2="http://schemas.microsoft.com/office/spreadsheetml/2017/richdata2" ref="A2:G76">
    <sortCondition ref="C1:C76"/>
  </sortState>
  <phoneticPr fontId="5" type="noConversion"/>
  <pageMargins left="0.7" right="0.7" top="0.78740157499999996" bottom="0.78740157499999996" header="0.3" footer="0.3"/>
  <customProperties>
    <customPr name="_pios_id" r:id="rId1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0D94C-5BF3-4551-9803-27AEAD4EC645}">
  <sheetPr>
    <tabColor rgb="FFFFFF00"/>
  </sheetPr>
  <dimension ref="A1:D19"/>
  <sheetViews>
    <sheetView tabSelected="1" workbookViewId="0">
      <selection activeCell="I15" sqref="I15"/>
    </sheetView>
  </sheetViews>
  <sheetFormatPr baseColWidth="10" defaultColWidth="11.42578125" defaultRowHeight="12.75" x14ac:dyDescent="0.2"/>
  <cols>
    <col min="1" max="1" width="11.42578125" style="12"/>
    <col min="2" max="2" width="7.28515625" style="12" bestFit="1" customWidth="1"/>
    <col min="3" max="3" width="9.28515625" style="12" customWidth="1"/>
    <col min="4" max="4" width="9.85546875" style="12" bestFit="1" customWidth="1"/>
    <col min="5" max="5" width="11.42578125" style="12"/>
    <col min="6" max="6" width="7.28515625" style="12" bestFit="1" customWidth="1"/>
    <col min="7" max="7" width="11.42578125" style="12" bestFit="1"/>
    <col min="8" max="8" width="7.85546875" style="12" bestFit="1" customWidth="1"/>
    <col min="9" max="9" width="15.42578125" style="12" bestFit="1" customWidth="1"/>
    <col min="10" max="11" width="11.42578125" style="12"/>
    <col min="12" max="12" width="14.5703125" style="12" customWidth="1"/>
    <col min="13" max="13" width="12.7109375" style="12" customWidth="1"/>
    <col min="14" max="16384" width="11.42578125" style="12"/>
  </cols>
  <sheetData>
    <row r="1" spans="1:4" ht="15" x14ac:dyDescent="0.25">
      <c r="A1" s="12" t="s">
        <v>165</v>
      </c>
      <c r="B1" s="12" t="s">
        <v>166</v>
      </c>
      <c r="C1" s="12" t="s">
        <v>187</v>
      </c>
      <c r="D1" t="s">
        <v>167</v>
      </c>
    </row>
    <row r="2" spans="1:4" ht="15" x14ac:dyDescent="0.25">
      <c r="A2" s="12" t="s">
        <v>168</v>
      </c>
      <c r="B2" s="12" t="s">
        <v>169</v>
      </c>
      <c r="C2" s="13">
        <v>3.637E-2</v>
      </c>
      <c r="D2">
        <v>1</v>
      </c>
    </row>
    <row r="3" spans="1:4" ht="15" x14ac:dyDescent="0.25">
      <c r="A3" s="12" t="s">
        <v>168</v>
      </c>
      <c r="B3" s="12" t="s">
        <v>170</v>
      </c>
      <c r="C3" s="13">
        <v>3.1189999999999999E-2</v>
      </c>
      <c r="D3">
        <v>2</v>
      </c>
    </row>
    <row r="4" spans="1:4" ht="15" x14ac:dyDescent="0.25">
      <c r="A4" s="12" t="s">
        <v>168</v>
      </c>
      <c r="B4" s="12" t="s">
        <v>171</v>
      </c>
      <c r="C4" s="13">
        <v>2.895E-2</v>
      </c>
      <c r="D4">
        <v>3</v>
      </c>
    </row>
    <row r="5" spans="1:4" ht="15" x14ac:dyDescent="0.25">
      <c r="A5" s="12" t="s">
        <v>168</v>
      </c>
      <c r="B5" s="12" t="s">
        <v>172</v>
      </c>
      <c r="C5" s="13">
        <v>2.7910000000000001E-2</v>
      </c>
      <c r="D5">
        <v>4</v>
      </c>
    </row>
    <row r="6" spans="1:4" ht="15" x14ac:dyDescent="0.25">
      <c r="A6" s="12" t="s">
        <v>168</v>
      </c>
      <c r="B6" s="12" t="s">
        <v>173</v>
      </c>
      <c r="C6" s="13">
        <v>2.743E-2</v>
      </c>
      <c r="D6">
        <v>5</v>
      </c>
    </row>
    <row r="7" spans="1:4" ht="15" x14ac:dyDescent="0.25">
      <c r="A7" s="12" t="s">
        <v>168</v>
      </c>
      <c r="B7" s="12" t="s">
        <v>174</v>
      </c>
      <c r="C7" s="13">
        <v>2.717E-2</v>
      </c>
      <c r="D7">
        <v>6</v>
      </c>
    </row>
    <row r="8" spans="1:4" ht="15" x14ac:dyDescent="0.25">
      <c r="A8" s="12" t="s">
        <v>168</v>
      </c>
      <c r="B8" s="12" t="s">
        <v>175</v>
      </c>
      <c r="C8" s="13">
        <v>2.708E-2</v>
      </c>
      <c r="D8">
        <v>7</v>
      </c>
    </row>
    <row r="9" spans="1:4" ht="15" x14ac:dyDescent="0.25">
      <c r="A9" s="12" t="s">
        <v>168</v>
      </c>
      <c r="B9" s="12" t="s">
        <v>176</v>
      </c>
      <c r="C9" s="13">
        <v>2.708E-2</v>
      </c>
      <c r="D9">
        <v>8</v>
      </c>
    </row>
    <row r="10" spans="1:4" ht="15" x14ac:dyDescent="0.25">
      <c r="A10" s="12" t="s">
        <v>168</v>
      </c>
      <c r="B10" s="12" t="s">
        <v>177</v>
      </c>
      <c r="C10" s="13">
        <v>2.7150000000000001E-2</v>
      </c>
      <c r="D10">
        <v>9</v>
      </c>
    </row>
    <row r="11" spans="1:4" ht="15" x14ac:dyDescent="0.25">
      <c r="A11" s="12" t="s">
        <v>168</v>
      </c>
      <c r="B11" s="12" t="s">
        <v>178</v>
      </c>
      <c r="C11" s="13">
        <v>2.726E-2</v>
      </c>
      <c r="D11">
        <v>10</v>
      </c>
    </row>
    <row r="12" spans="1:4" ht="15" x14ac:dyDescent="0.25">
      <c r="A12" s="12" t="s">
        <v>168</v>
      </c>
      <c r="B12" s="12" t="s">
        <v>179</v>
      </c>
      <c r="C12" s="13">
        <v>2.7390000000000001E-2</v>
      </c>
      <c r="D12">
        <v>11</v>
      </c>
    </row>
    <row r="13" spans="1:4" ht="15" x14ac:dyDescent="0.25">
      <c r="A13" s="12" t="s">
        <v>168</v>
      </c>
      <c r="B13" s="12" t="s">
        <v>180</v>
      </c>
      <c r="C13" s="13">
        <v>2.75E-2</v>
      </c>
      <c r="D13">
        <v>12</v>
      </c>
    </row>
    <row r="14" spans="1:4" ht="15" x14ac:dyDescent="0.25">
      <c r="A14" s="12" t="s">
        <v>168</v>
      </c>
      <c r="B14" s="12" t="s">
        <v>181</v>
      </c>
      <c r="C14" s="13">
        <v>2.7609999999999999E-2</v>
      </c>
      <c r="D14">
        <v>13</v>
      </c>
    </row>
    <row r="15" spans="1:4" ht="15" x14ac:dyDescent="0.25">
      <c r="A15" s="12" t="s">
        <v>168</v>
      </c>
      <c r="B15" s="12" t="s">
        <v>182</v>
      </c>
      <c r="C15" s="13">
        <v>2.7660000000000001E-2</v>
      </c>
      <c r="D15">
        <v>14</v>
      </c>
    </row>
    <row r="16" spans="1:4" ht="15" x14ac:dyDescent="0.25">
      <c r="A16" s="12" t="s">
        <v>168</v>
      </c>
      <c r="B16" s="12" t="s">
        <v>183</v>
      </c>
      <c r="C16" s="13">
        <v>2.7650000000000001E-2</v>
      </c>
      <c r="D16">
        <v>15</v>
      </c>
    </row>
    <row r="17" spans="1:4" ht="15" x14ac:dyDescent="0.25">
      <c r="A17" s="12" t="s">
        <v>168</v>
      </c>
      <c r="B17" s="12" t="s">
        <v>184</v>
      </c>
      <c r="C17" s="13">
        <v>2.6950000000000002E-2</v>
      </c>
      <c r="D17">
        <v>20</v>
      </c>
    </row>
    <row r="18" spans="1:4" ht="15" x14ac:dyDescent="0.25">
      <c r="A18" s="12" t="s">
        <v>168</v>
      </c>
      <c r="B18" s="12" t="s">
        <v>185</v>
      </c>
      <c r="C18" s="13">
        <v>2.5839999999999998E-2</v>
      </c>
      <c r="D18">
        <v>25</v>
      </c>
    </row>
    <row r="19" spans="1:4" ht="15" x14ac:dyDescent="0.25">
      <c r="A19" s="12" t="s">
        <v>168</v>
      </c>
      <c r="B19" s="12" t="s">
        <v>186</v>
      </c>
      <c r="C19" s="13">
        <v>2.4750000000000001E-2</v>
      </c>
      <c r="D19">
        <v>30</v>
      </c>
    </row>
  </sheetData>
  <pageMargins left="0.7" right="0.7" top="0.78740157499999996" bottom="0.78740157499999996" header="0.3" footer="0.3"/>
  <customProperties>
    <customPr name="_pios_id" r:id="rId1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A5B0FB-265C-4548-B08C-11528EB75276}">
  <sheetPr>
    <tabColor rgb="FFFFFF00"/>
  </sheetPr>
  <dimension ref="A1:B6"/>
  <sheetViews>
    <sheetView workbookViewId="0">
      <selection activeCell="E3" sqref="E3"/>
    </sheetView>
  </sheetViews>
  <sheetFormatPr baseColWidth="10" defaultRowHeight="15" x14ac:dyDescent="0.25"/>
  <cols>
    <col min="1" max="1" width="20.85546875" customWidth="1"/>
  </cols>
  <sheetData>
    <row r="1" spans="1:2" x14ac:dyDescent="0.25">
      <c r="A1" s="44" t="s">
        <v>311</v>
      </c>
      <c r="B1" s="44" t="s">
        <v>312</v>
      </c>
    </row>
    <row r="2" spans="1:2" x14ac:dyDescent="0.25">
      <c r="A2" s="44" t="s">
        <v>314</v>
      </c>
      <c r="B2" s="44">
        <v>-7</v>
      </c>
    </row>
    <row r="3" spans="1:2" x14ac:dyDescent="0.25">
      <c r="A3" s="44" t="s">
        <v>262</v>
      </c>
      <c r="B3" s="44">
        <v>-4</v>
      </c>
    </row>
    <row r="4" spans="1:2" x14ac:dyDescent="0.25">
      <c r="A4" s="44" t="s">
        <v>313</v>
      </c>
      <c r="B4" s="44">
        <v>0</v>
      </c>
    </row>
    <row r="5" spans="1:2" x14ac:dyDescent="0.25">
      <c r="A5" s="44" t="s">
        <v>315</v>
      </c>
      <c r="B5" s="44">
        <v>3</v>
      </c>
    </row>
    <row r="6" spans="1:2" x14ac:dyDescent="0.25">
      <c r="A6" s="44" t="s">
        <v>316</v>
      </c>
      <c r="B6" s="44">
        <v>7</v>
      </c>
    </row>
  </sheetData>
  <pageMargins left="0.7" right="0.7" top="0.78740157499999996" bottom="0.78740157499999996" header="0.3" footer="0.3"/>
  <customProperties>
    <customPr name="_pios_id" r:id="rId1"/>
  </customPropertie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9B5AD-CCA2-49A2-A744-F9EE15E7E9BC}">
  <dimension ref="A1:C19"/>
  <sheetViews>
    <sheetView workbookViewId="0">
      <selection activeCell="L21" sqref="L21"/>
    </sheetView>
  </sheetViews>
  <sheetFormatPr baseColWidth="10" defaultRowHeight="15" x14ac:dyDescent="0.25"/>
  <cols>
    <col min="1" max="1" width="11" bestFit="1" customWidth="1"/>
    <col min="2" max="2" width="8.7109375" bestFit="1" customWidth="1"/>
  </cols>
  <sheetData>
    <row r="1" spans="1:3" x14ac:dyDescent="0.25">
      <c r="A1" t="s">
        <v>290</v>
      </c>
      <c r="B1" t="s">
        <v>187</v>
      </c>
      <c r="C1" t="s">
        <v>309</v>
      </c>
    </row>
    <row r="2" spans="1:3" x14ac:dyDescent="0.25">
      <c r="A2" t="s">
        <v>291</v>
      </c>
      <c r="B2">
        <v>3.9740000000000002</v>
      </c>
      <c r="C2" s="43">
        <f>EUSW[[#This Row],[RATES]]/100</f>
        <v>3.9740000000000004E-2</v>
      </c>
    </row>
    <row r="3" spans="1:3" x14ac:dyDescent="0.25">
      <c r="A3" t="s">
        <v>292</v>
      </c>
      <c r="B3">
        <v>3.5510000000000002</v>
      </c>
      <c r="C3" s="43">
        <f>EUSW[[#This Row],[RATES]]/100</f>
        <v>3.551E-2</v>
      </c>
    </row>
    <row r="4" spans="1:3" x14ac:dyDescent="0.25">
      <c r="A4" t="s">
        <v>293</v>
      </c>
      <c r="B4">
        <v>3.3052999999999999</v>
      </c>
      <c r="C4" s="43">
        <f>EUSW[[#This Row],[RATES]]/100</f>
        <v>3.3052999999999999E-2</v>
      </c>
    </row>
    <row r="5" spans="1:3" x14ac:dyDescent="0.25">
      <c r="A5" t="s">
        <v>294</v>
      </c>
      <c r="B5">
        <v>3.1884999999999999</v>
      </c>
      <c r="C5" s="43">
        <f>EUSW[[#This Row],[RATES]]/100</f>
        <v>3.1884999999999997E-2</v>
      </c>
    </row>
    <row r="6" spans="1:3" x14ac:dyDescent="0.25">
      <c r="A6" t="s">
        <v>295</v>
      </c>
      <c r="B6">
        <v>3.1315</v>
      </c>
      <c r="C6" s="43">
        <f>EUSW[[#This Row],[RATES]]/100</f>
        <v>3.1315000000000003E-2</v>
      </c>
    </row>
    <row r="7" spans="1:3" x14ac:dyDescent="0.25">
      <c r="A7" t="s">
        <v>296</v>
      </c>
      <c r="B7">
        <v>3.1034999999999999</v>
      </c>
      <c r="C7" s="43">
        <f>EUSW[[#This Row],[RATES]]/100</f>
        <v>3.1035E-2</v>
      </c>
    </row>
    <row r="8" spans="1:3" x14ac:dyDescent="0.25">
      <c r="A8" t="s">
        <v>297</v>
      </c>
      <c r="B8">
        <v>3.0924999999999998</v>
      </c>
      <c r="C8" s="43">
        <f>EUSW[[#This Row],[RATES]]/100</f>
        <v>3.0924999999999998E-2</v>
      </c>
    </row>
    <row r="9" spans="1:3" x14ac:dyDescent="0.25">
      <c r="A9" t="s">
        <v>298</v>
      </c>
      <c r="B9">
        <v>3.0920000000000001</v>
      </c>
      <c r="C9" s="43">
        <f>EUSW[[#This Row],[RATES]]/100</f>
        <v>3.092E-2</v>
      </c>
    </row>
    <row r="10" spans="1:3" x14ac:dyDescent="0.25">
      <c r="A10" t="s">
        <v>299</v>
      </c>
      <c r="B10">
        <v>3.093</v>
      </c>
      <c r="C10" s="43">
        <f>EUSW[[#This Row],[RATES]]/100</f>
        <v>3.0929999999999999E-2</v>
      </c>
    </row>
    <row r="11" spans="1:3" x14ac:dyDescent="0.25">
      <c r="A11" t="s">
        <v>300</v>
      </c>
      <c r="B11">
        <v>3.1055000000000001</v>
      </c>
      <c r="C11" s="43">
        <f>EUSW[[#This Row],[RATES]]/100</f>
        <v>3.1055000000000003E-2</v>
      </c>
    </row>
    <row r="12" spans="1:3" x14ac:dyDescent="0.25">
      <c r="A12" t="s">
        <v>301</v>
      </c>
      <c r="B12">
        <v>3.1190000000000002</v>
      </c>
      <c r="C12" s="43">
        <f>EUSW[[#This Row],[RATES]]/100</f>
        <v>3.1190000000000002E-2</v>
      </c>
    </row>
    <row r="13" spans="1:3" x14ac:dyDescent="0.25">
      <c r="A13" t="s">
        <v>302</v>
      </c>
      <c r="B13">
        <v>3.1320000000000001</v>
      </c>
      <c r="C13" s="43">
        <f>EUSW[[#This Row],[RATES]]/100</f>
        <v>3.1320000000000001E-2</v>
      </c>
    </row>
    <row r="14" spans="1:3" x14ac:dyDescent="0.25">
      <c r="A14" t="s">
        <v>303</v>
      </c>
      <c r="B14">
        <v>3.1312000000000002</v>
      </c>
      <c r="C14" s="43">
        <f>EUSW[[#This Row],[RATES]]/100</f>
        <v>3.1312E-2</v>
      </c>
    </row>
    <row r="15" spans="1:3" x14ac:dyDescent="0.25">
      <c r="A15" t="s">
        <v>304</v>
      </c>
      <c r="B15">
        <v>3.1438000000000001</v>
      </c>
      <c r="C15" s="43">
        <f>EUSW[[#This Row],[RATES]]/100</f>
        <v>3.1438000000000001E-2</v>
      </c>
    </row>
    <row r="16" spans="1:3" x14ac:dyDescent="0.25">
      <c r="A16" t="s">
        <v>305</v>
      </c>
      <c r="B16">
        <v>3.1475</v>
      </c>
      <c r="C16" s="43">
        <f>EUSW[[#This Row],[RATES]]/100</f>
        <v>3.1475000000000003E-2</v>
      </c>
    </row>
    <row r="17" spans="1:3" x14ac:dyDescent="0.25">
      <c r="A17" t="s">
        <v>306</v>
      </c>
      <c r="B17">
        <v>3.0670000000000002</v>
      </c>
      <c r="C17" s="43">
        <f>EUSW[[#This Row],[RATES]]/100</f>
        <v>3.0670000000000003E-2</v>
      </c>
    </row>
    <row r="18" spans="1:3" x14ac:dyDescent="0.25">
      <c r="A18" t="s">
        <v>307</v>
      </c>
      <c r="B18">
        <v>2.9504999999999999</v>
      </c>
      <c r="C18" s="43">
        <f>EUSW[[#This Row],[RATES]]/100</f>
        <v>2.9505E-2</v>
      </c>
    </row>
    <row r="19" spans="1:3" x14ac:dyDescent="0.25">
      <c r="A19" t="s">
        <v>308</v>
      </c>
      <c r="B19">
        <v>2.835</v>
      </c>
      <c r="C19" s="43">
        <f>EUSW[[#This Row],[RATES]]/100</f>
        <v>2.835E-2</v>
      </c>
    </row>
  </sheetData>
  <pageMargins left="0.7" right="0.7" top="0.78740157499999996" bottom="0.78740157499999996" header="0.3" footer="0.3"/>
  <customProperties>
    <customPr name="_pios_id" r:id="rId1"/>
  </customPropertie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DA635F-24B0-4D39-B080-7EAD6D265A12}">
  <dimension ref="A1:AJ41"/>
  <sheetViews>
    <sheetView topLeftCell="T1" zoomScaleNormal="100" workbookViewId="0">
      <selection activeCell="AJ3" sqref="AJ3"/>
    </sheetView>
  </sheetViews>
  <sheetFormatPr baseColWidth="10" defaultRowHeight="15" x14ac:dyDescent="0.25"/>
  <cols>
    <col min="1" max="1" width="14.42578125" customWidth="1"/>
    <col min="2" max="2" width="18.7109375" customWidth="1"/>
    <col min="3" max="3" width="62.28515625" customWidth="1"/>
    <col min="4" max="4" width="28.28515625" customWidth="1"/>
    <col min="5" max="5" width="31.42578125" customWidth="1"/>
    <col min="6" max="6" width="14.140625" customWidth="1"/>
    <col min="7" max="7" width="19.85546875" customWidth="1"/>
    <col min="8" max="8" width="24.5703125" customWidth="1"/>
    <col min="12" max="12" width="12.7109375" customWidth="1"/>
    <col min="13" max="13" width="14.28515625" customWidth="1"/>
    <col min="16" max="16" width="12.85546875" customWidth="1"/>
    <col min="19" max="19" width="18.42578125" customWidth="1"/>
    <col min="20" max="20" width="12" customWidth="1"/>
    <col min="21" max="21" width="21.5703125" customWidth="1"/>
    <col min="22" max="22" width="17.5703125" customWidth="1"/>
    <col min="23" max="23" width="15.140625" customWidth="1"/>
    <col min="24" max="24" width="15.85546875" customWidth="1"/>
    <col min="25" max="25" width="18.42578125" customWidth="1"/>
    <col min="26" max="26" width="12.7109375" customWidth="1"/>
    <col min="27" max="27" width="22.140625" customWidth="1"/>
    <col min="28" max="28" width="15.42578125" customWidth="1"/>
    <col min="31" max="31" width="15.42578125" customWidth="1"/>
    <col min="35" max="35" width="17" customWidth="1"/>
  </cols>
  <sheetData>
    <row r="1" spans="1:36" x14ac:dyDescent="0.25">
      <c r="A1" s="26" t="s">
        <v>0</v>
      </c>
      <c r="B1" s="26" t="s">
        <v>2</v>
      </c>
      <c r="C1" s="26" t="s">
        <v>8</v>
      </c>
      <c r="D1" s="26" t="s">
        <v>9</v>
      </c>
      <c r="E1" s="26" t="s">
        <v>10</v>
      </c>
      <c r="F1" s="26" t="s">
        <v>5</v>
      </c>
      <c r="G1" s="26" t="s">
        <v>11</v>
      </c>
      <c r="H1" s="26" t="s">
        <v>12</v>
      </c>
      <c r="I1" s="26" t="s">
        <v>13</v>
      </c>
      <c r="J1" s="27" t="s">
        <v>14</v>
      </c>
      <c r="K1" s="26" t="s">
        <v>15</v>
      </c>
      <c r="L1" s="26" t="s">
        <v>16</v>
      </c>
      <c r="M1" s="26" t="s">
        <v>17</v>
      </c>
      <c r="N1" s="26" t="s">
        <v>155</v>
      </c>
      <c r="O1" s="26" t="s">
        <v>156</v>
      </c>
      <c r="P1" s="26" t="s">
        <v>18</v>
      </c>
      <c r="Q1" s="26" t="s">
        <v>19</v>
      </c>
      <c r="R1" s="26" t="s">
        <v>20</v>
      </c>
      <c r="S1" s="26" t="s">
        <v>21</v>
      </c>
      <c r="T1" s="26" t="s">
        <v>22</v>
      </c>
      <c r="U1" s="26" t="s">
        <v>23</v>
      </c>
      <c r="V1" s="26" t="s">
        <v>24</v>
      </c>
      <c r="W1" s="26" t="s">
        <v>25</v>
      </c>
      <c r="X1" s="26" t="s">
        <v>26</v>
      </c>
      <c r="Y1" s="26" t="s">
        <v>29</v>
      </c>
      <c r="Z1" s="26" t="s">
        <v>27</v>
      </c>
      <c r="AA1" s="26" t="s">
        <v>28</v>
      </c>
      <c r="AB1" s="28" t="s">
        <v>30</v>
      </c>
      <c r="AC1" s="29" t="s">
        <v>222</v>
      </c>
      <c r="AD1" s="29" t="s">
        <v>152</v>
      </c>
      <c r="AE1" s="29" t="s">
        <v>223</v>
      </c>
      <c r="AF1" s="29" t="s">
        <v>224</v>
      </c>
      <c r="AG1" s="29" t="s">
        <v>225</v>
      </c>
      <c r="AH1" s="29" t="s">
        <v>226</v>
      </c>
      <c r="AI1" s="29" t="s">
        <v>227</v>
      </c>
      <c r="AJ1" s="30" t="s">
        <v>31</v>
      </c>
    </row>
    <row r="2" spans="1:36" x14ac:dyDescent="0.25">
      <c r="A2" s="14">
        <v>1</v>
      </c>
      <c r="B2" s="14" t="s">
        <v>188</v>
      </c>
      <c r="C2" s="14" t="s">
        <v>189</v>
      </c>
      <c r="D2" s="14" t="s">
        <v>190</v>
      </c>
      <c r="E2" s="14" t="s">
        <v>39</v>
      </c>
      <c r="F2" s="14" t="s">
        <v>7</v>
      </c>
      <c r="G2" s="14" t="s">
        <v>33</v>
      </c>
      <c r="H2" s="15">
        <v>43082</v>
      </c>
      <c r="I2" s="15">
        <v>45639</v>
      </c>
      <c r="J2" s="16">
        <v>0.02</v>
      </c>
      <c r="K2" s="17"/>
      <c r="L2" s="14">
        <v>4</v>
      </c>
      <c r="M2" s="14" t="s">
        <v>40</v>
      </c>
      <c r="N2" s="14" t="s">
        <v>159</v>
      </c>
      <c r="O2" s="14" t="s">
        <v>160</v>
      </c>
      <c r="P2" s="14" t="s">
        <v>191</v>
      </c>
      <c r="Q2" s="14">
        <v>1</v>
      </c>
      <c r="R2" s="14" t="s">
        <v>192</v>
      </c>
      <c r="S2" s="14">
        <v>5.0000000000000001E-3</v>
      </c>
      <c r="T2" s="14">
        <v>0.02</v>
      </c>
      <c r="U2" s="14"/>
      <c r="V2" s="14"/>
      <c r="W2" s="14" t="s">
        <v>35</v>
      </c>
      <c r="X2" s="14">
        <v>1</v>
      </c>
      <c r="Y2" s="14" t="s">
        <v>146</v>
      </c>
      <c r="Z2" s="14" t="s">
        <v>38</v>
      </c>
      <c r="AA2" s="14"/>
      <c r="AB2" s="18">
        <v>1.167123287671233</v>
      </c>
      <c r="AC2" s="19">
        <v>0</v>
      </c>
      <c r="AD2" s="19">
        <v>0</v>
      </c>
      <c r="AE2" s="19"/>
      <c r="AF2" s="19"/>
      <c r="AG2" s="19"/>
      <c r="AH2" s="19">
        <v>5</v>
      </c>
      <c r="AI2" s="20" t="s">
        <v>146</v>
      </c>
      <c r="AJ2" s="21">
        <v>54.474529052342859</v>
      </c>
    </row>
    <row r="3" spans="1:36" x14ac:dyDescent="0.25">
      <c r="A3" s="22">
        <v>1</v>
      </c>
      <c r="B3" s="22" t="s">
        <v>193</v>
      </c>
      <c r="C3" s="22" t="s">
        <v>194</v>
      </c>
      <c r="D3" s="22" t="s">
        <v>195</v>
      </c>
      <c r="E3" s="22" t="s">
        <v>39</v>
      </c>
      <c r="F3" s="22" t="s">
        <v>7</v>
      </c>
      <c r="G3" s="22" t="s">
        <v>33</v>
      </c>
      <c r="H3" s="23">
        <v>43349</v>
      </c>
      <c r="I3" s="23">
        <v>45910</v>
      </c>
      <c r="J3" s="24">
        <v>2.1319999999999999E-2</v>
      </c>
      <c r="K3" s="25"/>
      <c r="L3" s="22">
        <v>4</v>
      </c>
      <c r="M3" s="22" t="s">
        <v>40</v>
      </c>
      <c r="N3" s="22" t="s">
        <v>159</v>
      </c>
      <c r="O3" s="22" t="s">
        <v>160</v>
      </c>
      <c r="P3" s="22" t="s">
        <v>191</v>
      </c>
      <c r="Q3" s="22">
        <v>1</v>
      </c>
      <c r="R3" s="22" t="s">
        <v>192</v>
      </c>
      <c r="S3" s="22">
        <v>7.4999999999999997E-3</v>
      </c>
      <c r="T3" s="22">
        <v>0.03</v>
      </c>
      <c r="U3" s="22"/>
      <c r="V3" s="22"/>
      <c r="W3" s="22" t="s">
        <v>35</v>
      </c>
      <c r="X3" s="22">
        <v>1</v>
      </c>
      <c r="Y3" s="22" t="s">
        <v>146</v>
      </c>
      <c r="Z3" s="22" t="s">
        <v>38</v>
      </c>
      <c r="AA3" s="22"/>
      <c r="AB3" s="18">
        <v>1.9095890410958904</v>
      </c>
      <c r="AC3" s="19">
        <v>0</v>
      </c>
      <c r="AD3" s="19">
        <v>0</v>
      </c>
      <c r="AE3" s="19"/>
      <c r="AF3" s="19"/>
      <c r="AG3" s="19"/>
      <c r="AH3" s="19">
        <v>5</v>
      </c>
      <c r="AI3" s="20" t="s">
        <v>146</v>
      </c>
      <c r="AJ3" s="21">
        <v>68.04009077904405</v>
      </c>
    </row>
    <row r="4" spans="1:36" x14ac:dyDescent="0.25">
      <c r="A4" s="14">
        <v>1</v>
      </c>
      <c r="B4" s="14" t="s">
        <v>196</v>
      </c>
      <c r="C4" s="14" t="s">
        <v>197</v>
      </c>
      <c r="D4" s="14" t="s">
        <v>198</v>
      </c>
      <c r="E4" s="14" t="s">
        <v>42</v>
      </c>
      <c r="F4" s="14" t="s">
        <v>7</v>
      </c>
      <c r="G4" s="14" t="s">
        <v>33</v>
      </c>
      <c r="H4" s="15">
        <v>43236</v>
      </c>
      <c r="I4" s="15">
        <v>45800</v>
      </c>
      <c r="J4" s="16">
        <v>2.1319999999999999E-2</v>
      </c>
      <c r="K4" s="17"/>
      <c r="L4" s="14">
        <v>4</v>
      </c>
      <c r="M4" s="14" t="s">
        <v>43</v>
      </c>
      <c r="N4" s="14" t="s">
        <v>159</v>
      </c>
      <c r="O4" s="14" t="s">
        <v>160</v>
      </c>
      <c r="P4" s="14" t="s">
        <v>191</v>
      </c>
      <c r="Q4" s="14">
        <v>1</v>
      </c>
      <c r="R4" s="14" t="s">
        <v>192</v>
      </c>
      <c r="S4" s="14">
        <v>8.5000000000000006E-3</v>
      </c>
      <c r="T4" s="14">
        <v>2.3E-2</v>
      </c>
      <c r="U4" s="14"/>
      <c r="V4" s="14"/>
      <c r="W4" s="14" t="s">
        <v>35</v>
      </c>
      <c r="X4" s="14">
        <v>1</v>
      </c>
      <c r="Y4" s="14" t="s">
        <v>147</v>
      </c>
      <c r="Z4" s="14" t="s">
        <v>38</v>
      </c>
      <c r="AA4" s="14"/>
      <c r="AB4" s="18">
        <v>1.6082191780821917</v>
      </c>
      <c r="AC4" s="19">
        <v>0</v>
      </c>
      <c r="AD4" s="19">
        <v>0</v>
      </c>
      <c r="AE4" s="19"/>
      <c r="AF4" s="19"/>
      <c r="AG4" s="19"/>
      <c r="AH4" s="19">
        <v>7</v>
      </c>
      <c r="AI4" s="20" t="s">
        <v>147</v>
      </c>
      <c r="AJ4" s="21">
        <v>78.011890435807246</v>
      </c>
    </row>
    <row r="5" spans="1:36" x14ac:dyDescent="0.25">
      <c r="A5" s="22">
        <v>1</v>
      </c>
      <c r="B5" s="22" t="s">
        <v>46</v>
      </c>
      <c r="C5" s="22" t="s">
        <v>47</v>
      </c>
      <c r="D5" s="22" t="s">
        <v>48</v>
      </c>
      <c r="E5" s="22" t="s">
        <v>44</v>
      </c>
      <c r="F5" s="22" t="s">
        <v>7</v>
      </c>
      <c r="G5" s="22" t="s">
        <v>33</v>
      </c>
      <c r="H5" s="23">
        <v>43158</v>
      </c>
      <c r="I5" s="23">
        <v>45324</v>
      </c>
      <c r="J5" s="24">
        <v>5.0000000000000001E-3</v>
      </c>
      <c r="K5" s="25"/>
      <c r="L5" s="22">
        <v>1</v>
      </c>
      <c r="M5" s="22" t="s">
        <v>45</v>
      </c>
      <c r="N5" s="22" t="s">
        <v>159</v>
      </c>
      <c r="O5" s="22" t="s">
        <v>160</v>
      </c>
      <c r="P5" s="22" t="s">
        <v>34</v>
      </c>
      <c r="Q5" s="22"/>
      <c r="R5" s="22"/>
      <c r="S5" s="22"/>
      <c r="T5" s="22"/>
      <c r="U5" s="22"/>
      <c r="V5" s="22"/>
      <c r="W5" s="22" t="s">
        <v>35</v>
      </c>
      <c r="X5" s="22">
        <v>1</v>
      </c>
      <c r="Y5" s="22" t="s">
        <v>148</v>
      </c>
      <c r="Z5" s="22" t="s">
        <v>38</v>
      </c>
      <c r="AA5" s="22"/>
      <c r="AB5" s="18">
        <v>0.30410958904109592</v>
      </c>
      <c r="AC5" s="19">
        <v>0</v>
      </c>
      <c r="AD5" s="19">
        <v>0</v>
      </c>
      <c r="AE5" s="19"/>
      <c r="AF5" s="19"/>
      <c r="AG5" s="19"/>
      <c r="AH5" s="19">
        <v>8</v>
      </c>
      <c r="AI5" s="20" t="s">
        <v>148</v>
      </c>
      <c r="AJ5" s="21">
        <v>55.326711666737836</v>
      </c>
    </row>
    <row r="6" spans="1:36" x14ac:dyDescent="0.25">
      <c r="A6" s="14">
        <v>1</v>
      </c>
      <c r="B6" s="14" t="s">
        <v>51</v>
      </c>
      <c r="C6" s="14" t="s">
        <v>52</v>
      </c>
      <c r="D6" s="14" t="s">
        <v>32</v>
      </c>
      <c r="E6" s="14" t="s">
        <v>49</v>
      </c>
      <c r="F6" s="14" t="s">
        <v>7</v>
      </c>
      <c r="G6" s="14" t="s">
        <v>33</v>
      </c>
      <c r="H6" s="15">
        <v>44470</v>
      </c>
      <c r="I6" s="15">
        <v>46386</v>
      </c>
      <c r="J6" s="16">
        <v>1.0000000000000002E-6</v>
      </c>
      <c r="K6" s="17"/>
      <c r="L6" s="14">
        <v>1</v>
      </c>
      <c r="M6" s="14" t="s">
        <v>50</v>
      </c>
      <c r="N6" s="14" t="s">
        <v>159</v>
      </c>
      <c r="O6" s="14" t="s">
        <v>160</v>
      </c>
      <c r="P6" s="14" t="s">
        <v>34</v>
      </c>
      <c r="Q6" s="14"/>
      <c r="R6" s="14"/>
      <c r="S6" s="14"/>
      <c r="T6" s="14"/>
      <c r="U6" s="14"/>
      <c r="V6" s="14"/>
      <c r="W6" s="14" t="s">
        <v>35</v>
      </c>
      <c r="X6" s="14">
        <v>1</v>
      </c>
      <c r="Y6" s="14" t="s">
        <v>146</v>
      </c>
      <c r="Z6" s="14" t="s">
        <v>38</v>
      </c>
      <c r="AA6" s="14"/>
      <c r="AB6" s="18">
        <v>3.2136986301369861</v>
      </c>
      <c r="AC6" s="19">
        <v>0</v>
      </c>
      <c r="AD6" s="19">
        <v>0</v>
      </c>
      <c r="AE6" s="19"/>
      <c r="AF6" s="19"/>
      <c r="AG6" s="19"/>
      <c r="AH6" s="19">
        <v>5</v>
      </c>
      <c r="AI6" s="20" t="s">
        <v>146</v>
      </c>
      <c r="AJ6" s="21">
        <v>82.210260441731876</v>
      </c>
    </row>
    <row r="7" spans="1:36" x14ac:dyDescent="0.25">
      <c r="A7" s="22">
        <v>1</v>
      </c>
      <c r="B7" s="22" t="s">
        <v>55</v>
      </c>
      <c r="C7" s="22" t="s">
        <v>56</v>
      </c>
      <c r="D7" s="22" t="s">
        <v>32</v>
      </c>
      <c r="E7" s="22" t="s">
        <v>53</v>
      </c>
      <c r="F7" s="22" t="s">
        <v>7</v>
      </c>
      <c r="G7" s="22" t="s">
        <v>33</v>
      </c>
      <c r="H7" s="23">
        <v>43916</v>
      </c>
      <c r="I7" s="23">
        <v>45679</v>
      </c>
      <c r="J7" s="24">
        <v>2.5000000000000001E-3</v>
      </c>
      <c r="K7" s="25"/>
      <c r="L7" s="22">
        <v>1</v>
      </c>
      <c r="M7" s="22" t="s">
        <v>54</v>
      </c>
      <c r="N7" s="22" t="s">
        <v>159</v>
      </c>
      <c r="O7" s="22" t="s">
        <v>160</v>
      </c>
      <c r="P7" s="22" t="s">
        <v>34</v>
      </c>
      <c r="Q7" s="22"/>
      <c r="R7" s="22"/>
      <c r="S7" s="22"/>
      <c r="T7" s="22"/>
      <c r="U7" s="22"/>
      <c r="V7" s="22"/>
      <c r="W7" s="22" t="s">
        <v>35</v>
      </c>
      <c r="X7" s="22">
        <v>1</v>
      </c>
      <c r="Y7" s="22" t="s">
        <v>147</v>
      </c>
      <c r="Z7" s="22" t="s">
        <v>38</v>
      </c>
      <c r="AA7" s="22"/>
      <c r="AB7" s="18">
        <v>1.2767123287671234</v>
      </c>
      <c r="AC7" s="19">
        <v>0</v>
      </c>
      <c r="AD7" s="19">
        <v>0</v>
      </c>
      <c r="AE7" s="19"/>
      <c r="AF7" s="19"/>
      <c r="AG7" s="19"/>
      <c r="AH7" s="19">
        <v>7</v>
      </c>
      <c r="AI7" s="20" t="s">
        <v>147</v>
      </c>
      <c r="AJ7" s="21">
        <v>70.455749978061604</v>
      </c>
    </row>
    <row r="8" spans="1:36" x14ac:dyDescent="0.25">
      <c r="A8" s="14">
        <v>1</v>
      </c>
      <c r="B8" s="14" t="s">
        <v>57</v>
      </c>
      <c r="C8" s="14" t="s">
        <v>58</v>
      </c>
      <c r="D8" s="14" t="s">
        <v>32</v>
      </c>
      <c r="E8" s="14" t="s">
        <v>53</v>
      </c>
      <c r="F8" s="14" t="s">
        <v>7</v>
      </c>
      <c r="G8" s="14" t="s">
        <v>33</v>
      </c>
      <c r="H8" s="15">
        <v>43798</v>
      </c>
      <c r="I8" s="15">
        <v>46290</v>
      </c>
      <c r="J8" s="16">
        <v>3.7499999999999999E-3</v>
      </c>
      <c r="K8" s="17"/>
      <c r="L8" s="14">
        <v>1</v>
      </c>
      <c r="M8" s="14" t="s">
        <v>54</v>
      </c>
      <c r="N8" s="14" t="s">
        <v>159</v>
      </c>
      <c r="O8" s="14" t="s">
        <v>160</v>
      </c>
      <c r="P8" s="14" t="s">
        <v>34</v>
      </c>
      <c r="Q8" s="14"/>
      <c r="R8" s="14"/>
      <c r="S8" s="14"/>
      <c r="T8" s="14"/>
      <c r="U8" s="14"/>
      <c r="V8" s="14"/>
      <c r="W8" s="14" t="s">
        <v>35</v>
      </c>
      <c r="X8" s="14">
        <v>1</v>
      </c>
      <c r="Y8" s="14" t="s">
        <v>147</v>
      </c>
      <c r="Z8" s="14" t="s">
        <v>38</v>
      </c>
      <c r="AA8" s="14"/>
      <c r="AB8" s="18">
        <v>2.9506849315068493</v>
      </c>
      <c r="AC8" s="19">
        <v>0</v>
      </c>
      <c r="AD8" s="19">
        <v>0</v>
      </c>
      <c r="AE8" s="19"/>
      <c r="AF8" s="19"/>
      <c r="AG8" s="19"/>
      <c r="AH8" s="19">
        <v>7</v>
      </c>
      <c r="AI8" s="20" t="s">
        <v>147</v>
      </c>
      <c r="AJ8" s="21">
        <v>100.08494657414356</v>
      </c>
    </row>
    <row r="9" spans="1:36" x14ac:dyDescent="0.25">
      <c r="A9" s="22">
        <v>1</v>
      </c>
      <c r="B9" s="22" t="s">
        <v>59</v>
      </c>
      <c r="C9" s="22" t="s">
        <v>60</v>
      </c>
      <c r="D9" s="22" t="s">
        <v>61</v>
      </c>
      <c r="E9" s="22" t="s">
        <v>62</v>
      </c>
      <c r="F9" s="22" t="s">
        <v>7</v>
      </c>
      <c r="G9" s="22" t="s">
        <v>33</v>
      </c>
      <c r="H9" s="23">
        <v>43229</v>
      </c>
      <c r="I9" s="23">
        <v>45793</v>
      </c>
      <c r="J9" s="24">
        <v>2.1319999999999999E-2</v>
      </c>
      <c r="K9" s="25"/>
      <c r="L9" s="22">
        <v>1</v>
      </c>
      <c r="M9" s="22" t="s">
        <v>63</v>
      </c>
      <c r="N9" s="22" t="s">
        <v>159</v>
      </c>
      <c r="O9" s="22" t="s">
        <v>160</v>
      </c>
      <c r="P9" s="22" t="s">
        <v>34</v>
      </c>
      <c r="Q9" s="22"/>
      <c r="R9" s="22"/>
      <c r="S9" s="22"/>
      <c r="T9" s="22"/>
      <c r="U9" s="22"/>
      <c r="V9" s="22"/>
      <c r="W9" s="22" t="s">
        <v>35</v>
      </c>
      <c r="X9" s="22">
        <v>1</v>
      </c>
      <c r="Y9" s="22" t="s">
        <v>146</v>
      </c>
      <c r="Z9" s="22" t="s">
        <v>38</v>
      </c>
      <c r="AA9" s="22"/>
      <c r="AB9" s="18">
        <v>1.5890410958904109</v>
      </c>
      <c r="AC9" s="19">
        <v>0</v>
      </c>
      <c r="AD9" s="19">
        <v>0</v>
      </c>
      <c r="AE9" s="19"/>
      <c r="AF9" s="19"/>
      <c r="AG9" s="19"/>
      <c r="AH9" s="19">
        <v>5</v>
      </c>
      <c r="AI9" s="20" t="s">
        <v>146</v>
      </c>
      <c r="AJ9" s="21">
        <v>62.183372247590029</v>
      </c>
    </row>
    <row r="10" spans="1:36" x14ac:dyDescent="0.25">
      <c r="A10" s="14">
        <v>1</v>
      </c>
      <c r="B10" s="14" t="s">
        <v>199</v>
      </c>
      <c r="C10" s="14" t="s">
        <v>200</v>
      </c>
      <c r="D10" s="14" t="s">
        <v>201</v>
      </c>
      <c r="E10" s="14" t="s">
        <v>64</v>
      </c>
      <c r="F10" s="14" t="s">
        <v>7</v>
      </c>
      <c r="G10" s="14" t="s">
        <v>33</v>
      </c>
      <c r="H10" s="15">
        <v>43445</v>
      </c>
      <c r="I10" s="15">
        <v>46010</v>
      </c>
      <c r="J10" s="16">
        <v>3.193E-2</v>
      </c>
      <c r="K10" s="17"/>
      <c r="L10" s="14">
        <v>2</v>
      </c>
      <c r="M10" s="14" t="s">
        <v>65</v>
      </c>
      <c r="N10" s="14" t="s">
        <v>159</v>
      </c>
      <c r="O10" s="14" t="s">
        <v>160</v>
      </c>
      <c r="P10" s="14" t="s">
        <v>191</v>
      </c>
      <c r="Q10" s="14">
        <v>1</v>
      </c>
      <c r="R10" s="14" t="s">
        <v>202</v>
      </c>
      <c r="S10" s="14">
        <v>7.4999999999999997E-3</v>
      </c>
      <c r="T10" s="14">
        <v>3.2500000000000001E-2</v>
      </c>
      <c r="U10" s="14">
        <v>5.0000000000000001E-3</v>
      </c>
      <c r="V10" s="14"/>
      <c r="W10" s="14" t="s">
        <v>35</v>
      </c>
      <c r="X10" s="14">
        <v>1</v>
      </c>
      <c r="Y10" s="14" t="s">
        <v>147</v>
      </c>
      <c r="Z10" s="14" t="s">
        <v>38</v>
      </c>
      <c r="AA10" s="14"/>
      <c r="AB10" s="18">
        <v>2.1835616438356165</v>
      </c>
      <c r="AC10" s="19">
        <v>0</v>
      </c>
      <c r="AD10" s="19">
        <v>0</v>
      </c>
      <c r="AE10" s="19"/>
      <c r="AF10" s="19"/>
      <c r="AG10" s="19"/>
      <c r="AH10" s="19">
        <v>7</v>
      </c>
      <c r="AI10" s="20" t="s">
        <v>147</v>
      </c>
      <c r="AJ10" s="21">
        <v>89.479585913970197</v>
      </c>
    </row>
    <row r="11" spans="1:36" x14ac:dyDescent="0.25">
      <c r="A11" s="22">
        <v>1</v>
      </c>
      <c r="B11" s="22" t="s">
        <v>66</v>
      </c>
      <c r="C11" s="22" t="s">
        <v>67</v>
      </c>
      <c r="D11" s="22" t="s">
        <v>32</v>
      </c>
      <c r="E11" s="22" t="s">
        <v>64</v>
      </c>
      <c r="F11" s="22" t="s">
        <v>7</v>
      </c>
      <c r="G11" s="22" t="s">
        <v>33</v>
      </c>
      <c r="H11" s="23">
        <v>43812</v>
      </c>
      <c r="I11" s="23">
        <v>45646</v>
      </c>
      <c r="J11" s="24">
        <v>4.4999999999999997E-3</v>
      </c>
      <c r="K11" s="25"/>
      <c r="L11" s="22">
        <v>1</v>
      </c>
      <c r="M11" s="22" t="s">
        <v>65</v>
      </c>
      <c r="N11" s="22" t="s">
        <v>159</v>
      </c>
      <c r="O11" s="22" t="s">
        <v>160</v>
      </c>
      <c r="P11" s="22" t="s">
        <v>34</v>
      </c>
      <c r="Q11" s="22"/>
      <c r="R11" s="22"/>
      <c r="S11" s="22"/>
      <c r="T11" s="22"/>
      <c r="U11" s="22"/>
      <c r="V11" s="22"/>
      <c r="W11" s="22" t="s">
        <v>35</v>
      </c>
      <c r="X11" s="22">
        <v>1</v>
      </c>
      <c r="Y11" s="22" t="s">
        <v>147</v>
      </c>
      <c r="Z11" s="22" t="s">
        <v>38</v>
      </c>
      <c r="AA11" s="22"/>
      <c r="AB11" s="18">
        <v>1.1863013698630136</v>
      </c>
      <c r="AC11" s="19">
        <v>0</v>
      </c>
      <c r="AD11" s="19">
        <v>0</v>
      </c>
      <c r="AE11" s="19"/>
      <c r="AF11" s="19"/>
      <c r="AG11" s="19"/>
      <c r="AH11" s="19">
        <v>7</v>
      </c>
      <c r="AI11" s="20" t="s">
        <v>147</v>
      </c>
      <c r="AJ11" s="21">
        <v>68.394984398676428</v>
      </c>
    </row>
    <row r="12" spans="1:36" x14ac:dyDescent="0.25">
      <c r="A12" s="14">
        <v>1</v>
      </c>
      <c r="B12" s="14" t="s">
        <v>203</v>
      </c>
      <c r="C12" s="14" t="s">
        <v>204</v>
      </c>
      <c r="D12" s="14" t="s">
        <v>205</v>
      </c>
      <c r="E12" s="14" t="s">
        <v>42</v>
      </c>
      <c r="F12" s="14" t="s">
        <v>7</v>
      </c>
      <c r="G12" s="14" t="s">
        <v>33</v>
      </c>
      <c r="H12" s="15">
        <v>43088</v>
      </c>
      <c r="I12" s="15">
        <v>45645</v>
      </c>
      <c r="J12" s="16">
        <v>2.1319999999999999E-2</v>
      </c>
      <c r="K12" s="17"/>
      <c r="L12" s="14">
        <v>4</v>
      </c>
      <c r="M12" s="14" t="s">
        <v>43</v>
      </c>
      <c r="N12" s="14" t="s">
        <v>159</v>
      </c>
      <c r="O12" s="14" t="s">
        <v>160</v>
      </c>
      <c r="P12" s="14" t="s">
        <v>191</v>
      </c>
      <c r="Q12" s="14">
        <v>1</v>
      </c>
      <c r="R12" s="14" t="s">
        <v>192</v>
      </c>
      <c r="S12" s="14">
        <v>6.0000000000000001E-3</v>
      </c>
      <c r="T12" s="14">
        <v>3.1E-2</v>
      </c>
      <c r="U12" s="14"/>
      <c r="V12" s="14"/>
      <c r="W12" s="14" t="s">
        <v>35</v>
      </c>
      <c r="X12" s="14">
        <v>1</v>
      </c>
      <c r="Y12" s="14" t="s">
        <v>147</v>
      </c>
      <c r="Z12" s="14" t="s">
        <v>38</v>
      </c>
      <c r="AA12" s="14"/>
      <c r="AB12" s="18">
        <v>1.1835616438356165</v>
      </c>
      <c r="AC12" s="19">
        <v>0</v>
      </c>
      <c r="AD12" s="19">
        <v>0</v>
      </c>
      <c r="AE12" s="19"/>
      <c r="AF12" s="19"/>
      <c r="AG12" s="19"/>
      <c r="AH12" s="19">
        <v>7</v>
      </c>
      <c r="AI12" s="20" t="s">
        <v>147</v>
      </c>
      <c r="AJ12" s="21">
        <v>68.332536956876879</v>
      </c>
    </row>
    <row r="13" spans="1:36" x14ac:dyDescent="0.25">
      <c r="A13" s="22">
        <v>1</v>
      </c>
      <c r="B13" s="22" t="s">
        <v>206</v>
      </c>
      <c r="C13" s="22" t="s">
        <v>207</v>
      </c>
      <c r="D13" s="22" t="s">
        <v>208</v>
      </c>
      <c r="E13" s="22" t="s">
        <v>72</v>
      </c>
      <c r="F13" s="22" t="s">
        <v>7</v>
      </c>
      <c r="G13" s="22" t="s">
        <v>33</v>
      </c>
      <c r="H13" s="23">
        <v>43817</v>
      </c>
      <c r="I13" s="23">
        <v>46018</v>
      </c>
      <c r="J13" s="24">
        <v>2.8320000000000001E-2</v>
      </c>
      <c r="K13" s="25"/>
      <c r="L13" s="22">
        <v>1</v>
      </c>
      <c r="M13" s="22" t="s">
        <v>73</v>
      </c>
      <c r="N13" s="22" t="s">
        <v>159</v>
      </c>
      <c r="O13" s="22" t="s">
        <v>160</v>
      </c>
      <c r="P13" s="22" t="s">
        <v>191</v>
      </c>
      <c r="Q13" s="22">
        <v>1</v>
      </c>
      <c r="R13" s="22" t="s">
        <v>192</v>
      </c>
      <c r="S13" s="22">
        <v>0</v>
      </c>
      <c r="T13" s="22">
        <v>1</v>
      </c>
      <c r="U13" s="22">
        <v>7.0000000000000001E-3</v>
      </c>
      <c r="V13" s="22"/>
      <c r="W13" s="22" t="s">
        <v>35</v>
      </c>
      <c r="X13" s="22">
        <v>1</v>
      </c>
      <c r="Y13" s="22" t="s">
        <v>150</v>
      </c>
      <c r="Z13" s="22" t="s">
        <v>38</v>
      </c>
      <c r="AA13" s="22"/>
      <c r="AB13" s="18">
        <v>2.2054794520547945</v>
      </c>
      <c r="AC13" s="19">
        <v>0</v>
      </c>
      <c r="AD13" s="19">
        <v>0</v>
      </c>
      <c r="AE13" s="19"/>
      <c r="AF13" s="19"/>
      <c r="AG13" s="19"/>
      <c r="AH13" s="19">
        <v>6</v>
      </c>
      <c r="AI13" s="20" t="s">
        <v>150</v>
      </c>
      <c r="AJ13" s="21">
        <v>80.16458418430885</v>
      </c>
    </row>
    <row r="14" spans="1:36" x14ac:dyDescent="0.25">
      <c r="A14" s="14">
        <v>1</v>
      </c>
      <c r="B14" s="14" t="s">
        <v>74</v>
      </c>
      <c r="C14" s="14" t="s">
        <v>75</v>
      </c>
      <c r="D14" s="14" t="s">
        <v>32</v>
      </c>
      <c r="E14" s="14" t="s">
        <v>49</v>
      </c>
      <c r="F14" s="14" t="s">
        <v>7</v>
      </c>
      <c r="G14" s="14" t="s">
        <v>33</v>
      </c>
      <c r="H14" s="15">
        <v>44551</v>
      </c>
      <c r="I14" s="15">
        <v>46363</v>
      </c>
      <c r="J14" s="16">
        <v>1.2999999999999999E-3</v>
      </c>
      <c r="K14" s="17"/>
      <c r="L14" s="14">
        <v>1</v>
      </c>
      <c r="M14" s="14" t="s">
        <v>50</v>
      </c>
      <c r="N14" s="14" t="s">
        <v>159</v>
      </c>
      <c r="O14" s="14" t="s">
        <v>160</v>
      </c>
      <c r="P14" s="14" t="s">
        <v>34</v>
      </c>
      <c r="Q14" s="14"/>
      <c r="R14" s="14"/>
      <c r="S14" s="14"/>
      <c r="T14" s="14"/>
      <c r="U14" s="14"/>
      <c r="V14" s="14"/>
      <c r="W14" s="14" t="s">
        <v>35</v>
      </c>
      <c r="X14" s="14">
        <v>1</v>
      </c>
      <c r="Y14" s="14" t="s">
        <v>146</v>
      </c>
      <c r="Z14" s="14" t="s">
        <v>38</v>
      </c>
      <c r="AA14" s="14"/>
      <c r="AB14" s="18">
        <v>3.1506849315068495</v>
      </c>
      <c r="AC14" s="19">
        <v>0</v>
      </c>
      <c r="AD14" s="19">
        <v>0</v>
      </c>
      <c r="AE14" s="19"/>
      <c r="AF14" s="19"/>
      <c r="AG14" s="19"/>
      <c r="AH14" s="19">
        <v>5</v>
      </c>
      <c r="AI14" s="20" t="s">
        <v>146</v>
      </c>
      <c r="AJ14" s="21">
        <v>81.786713212412707</v>
      </c>
    </row>
    <row r="15" spans="1:36" x14ac:dyDescent="0.25">
      <c r="A15" s="22">
        <v>1</v>
      </c>
      <c r="B15" s="22" t="s">
        <v>76</v>
      </c>
      <c r="C15" s="22" t="s">
        <v>77</v>
      </c>
      <c r="D15" s="22" t="s">
        <v>32</v>
      </c>
      <c r="E15" s="22" t="s">
        <v>78</v>
      </c>
      <c r="F15" s="22" t="s">
        <v>7</v>
      </c>
      <c r="G15" s="22" t="s">
        <v>33</v>
      </c>
      <c r="H15" s="23">
        <v>44610</v>
      </c>
      <c r="I15" s="23">
        <v>46104</v>
      </c>
      <c r="J15" s="24">
        <v>8.7500000000000008E-3</v>
      </c>
      <c r="K15" s="25"/>
      <c r="L15" s="22">
        <v>1</v>
      </c>
      <c r="M15" s="22" t="s">
        <v>79</v>
      </c>
      <c r="N15" s="22" t="s">
        <v>159</v>
      </c>
      <c r="O15" s="22" t="s">
        <v>160</v>
      </c>
      <c r="P15" s="22" t="s">
        <v>34</v>
      </c>
      <c r="Q15" s="22"/>
      <c r="R15" s="22"/>
      <c r="S15" s="22"/>
      <c r="T15" s="22"/>
      <c r="U15" s="22"/>
      <c r="V15" s="22"/>
      <c r="W15" s="22" t="s">
        <v>35</v>
      </c>
      <c r="X15" s="22">
        <v>1</v>
      </c>
      <c r="Y15" s="22" t="s">
        <v>148</v>
      </c>
      <c r="Z15" s="22" t="s">
        <v>38</v>
      </c>
      <c r="AA15" s="22"/>
      <c r="AB15" s="18">
        <v>2.441095890410959</v>
      </c>
      <c r="AC15" s="19">
        <v>0</v>
      </c>
      <c r="AD15" s="19">
        <v>0</v>
      </c>
      <c r="AE15" s="19"/>
      <c r="AF15" s="19"/>
      <c r="AG15" s="19"/>
      <c r="AH15" s="19">
        <v>8</v>
      </c>
      <c r="AI15" s="20" t="s">
        <v>148</v>
      </c>
      <c r="AJ15" s="21">
        <v>106.60435866346191</v>
      </c>
    </row>
    <row r="16" spans="1:36" x14ac:dyDescent="0.25">
      <c r="A16" s="14">
        <v>1</v>
      </c>
      <c r="B16" s="14" t="s">
        <v>80</v>
      </c>
      <c r="C16" s="14" t="s">
        <v>81</v>
      </c>
      <c r="D16" s="14" t="s">
        <v>32</v>
      </c>
      <c r="E16" s="14" t="s">
        <v>82</v>
      </c>
      <c r="F16" s="14" t="s">
        <v>7</v>
      </c>
      <c r="G16" s="14" t="s">
        <v>33</v>
      </c>
      <c r="H16" s="15">
        <v>44613</v>
      </c>
      <c r="I16" s="15">
        <v>46436</v>
      </c>
      <c r="J16" s="16">
        <v>3.7499999999999999E-3</v>
      </c>
      <c r="K16" s="17"/>
      <c r="L16" s="14">
        <v>1</v>
      </c>
      <c r="M16" s="14" t="s">
        <v>83</v>
      </c>
      <c r="N16" s="14" t="s">
        <v>159</v>
      </c>
      <c r="O16" s="14" t="s">
        <v>161</v>
      </c>
      <c r="P16" s="14" t="s">
        <v>34</v>
      </c>
      <c r="Q16" s="14"/>
      <c r="R16" s="14"/>
      <c r="S16" s="14"/>
      <c r="T16" s="14"/>
      <c r="U16" s="14"/>
      <c r="V16" s="14"/>
      <c r="W16" s="14" t="s">
        <v>35</v>
      </c>
      <c r="X16" s="14">
        <v>1</v>
      </c>
      <c r="Y16" s="14" t="s">
        <v>151</v>
      </c>
      <c r="Z16" s="14" t="s">
        <v>38</v>
      </c>
      <c r="AA16" s="14"/>
      <c r="AB16" s="18">
        <v>3.3506849315068492</v>
      </c>
      <c r="AC16" s="19">
        <v>0</v>
      </c>
      <c r="AD16" s="19">
        <v>0</v>
      </c>
      <c r="AE16" s="19"/>
      <c r="AF16" s="19"/>
      <c r="AG16" s="19"/>
      <c r="AH16" s="19">
        <v>4</v>
      </c>
      <c r="AI16" s="20" t="s">
        <v>151</v>
      </c>
      <c r="AJ16" s="21">
        <v>74.496254293554259</v>
      </c>
    </row>
    <row r="17" spans="1:36" x14ac:dyDescent="0.25">
      <c r="A17" s="22">
        <v>1</v>
      </c>
      <c r="B17" s="22" t="s">
        <v>84</v>
      </c>
      <c r="C17" s="22" t="s">
        <v>85</v>
      </c>
      <c r="D17" s="22" t="s">
        <v>32</v>
      </c>
      <c r="E17" s="22" t="s">
        <v>82</v>
      </c>
      <c r="F17" s="22" t="s">
        <v>7</v>
      </c>
      <c r="G17" s="22" t="s">
        <v>33</v>
      </c>
      <c r="H17" s="23">
        <v>44613</v>
      </c>
      <c r="I17" s="23">
        <v>46955</v>
      </c>
      <c r="J17" s="24">
        <v>2.5000000000000001E-3</v>
      </c>
      <c r="K17" s="25"/>
      <c r="L17" s="22">
        <v>2</v>
      </c>
      <c r="M17" s="22" t="s">
        <v>83</v>
      </c>
      <c r="N17" s="22" t="s">
        <v>159</v>
      </c>
      <c r="O17" s="22" t="s">
        <v>161</v>
      </c>
      <c r="P17" s="22" t="s">
        <v>34</v>
      </c>
      <c r="Q17" s="22"/>
      <c r="R17" s="22"/>
      <c r="S17" s="22"/>
      <c r="T17" s="22"/>
      <c r="U17" s="22"/>
      <c r="V17" s="22"/>
      <c r="W17" s="22" t="s">
        <v>35</v>
      </c>
      <c r="X17" s="22">
        <v>1</v>
      </c>
      <c r="Y17" s="22" t="s">
        <v>151</v>
      </c>
      <c r="Z17" s="22" t="s">
        <v>38</v>
      </c>
      <c r="AA17" s="22"/>
      <c r="AB17" s="18">
        <v>4.7726027397260271</v>
      </c>
      <c r="AC17" s="19">
        <v>0</v>
      </c>
      <c r="AD17" s="19">
        <v>0</v>
      </c>
      <c r="AE17" s="19"/>
      <c r="AF17" s="19"/>
      <c r="AG17" s="19"/>
      <c r="AH17" s="19">
        <v>4</v>
      </c>
      <c r="AI17" s="20" t="s">
        <v>151</v>
      </c>
      <c r="AJ17" s="21">
        <v>81.229893643071847</v>
      </c>
    </row>
    <row r="18" spans="1:36" x14ac:dyDescent="0.25">
      <c r="A18" s="14">
        <v>1</v>
      </c>
      <c r="B18" s="14" t="s">
        <v>86</v>
      </c>
      <c r="C18" s="14" t="s">
        <v>87</v>
      </c>
      <c r="D18" s="14" t="s">
        <v>32</v>
      </c>
      <c r="E18" s="14" t="s">
        <v>88</v>
      </c>
      <c r="F18" s="14" t="s">
        <v>7</v>
      </c>
      <c r="G18" s="14" t="s">
        <v>33</v>
      </c>
      <c r="H18" s="15">
        <v>44627</v>
      </c>
      <c r="I18" s="15">
        <v>46631</v>
      </c>
      <c r="J18" s="16">
        <v>3.7499999999999999E-3</v>
      </c>
      <c r="K18" s="17"/>
      <c r="L18" s="14">
        <v>1</v>
      </c>
      <c r="M18" s="14" t="s">
        <v>89</v>
      </c>
      <c r="N18" s="14" t="s">
        <v>159</v>
      </c>
      <c r="O18" s="14" t="s">
        <v>161</v>
      </c>
      <c r="P18" s="14" t="s">
        <v>34</v>
      </c>
      <c r="Q18" s="14"/>
      <c r="R18" s="14"/>
      <c r="S18" s="14"/>
      <c r="T18" s="14"/>
      <c r="U18" s="14"/>
      <c r="V18" s="14"/>
      <c r="W18" s="14" t="s">
        <v>35</v>
      </c>
      <c r="X18" s="14">
        <v>1</v>
      </c>
      <c r="Y18" s="14" t="s">
        <v>147</v>
      </c>
      <c r="Z18" s="14" t="s">
        <v>38</v>
      </c>
      <c r="AA18" s="14"/>
      <c r="AB18" s="18">
        <v>3.8849315068493149</v>
      </c>
      <c r="AC18" s="19">
        <v>0</v>
      </c>
      <c r="AD18" s="19">
        <v>0</v>
      </c>
      <c r="AE18" s="19"/>
      <c r="AF18" s="19"/>
      <c r="AG18" s="19"/>
      <c r="AH18" s="19">
        <v>7</v>
      </c>
      <c r="AI18" s="20" t="s">
        <v>147</v>
      </c>
      <c r="AJ18" s="21">
        <v>108.1870407467934</v>
      </c>
    </row>
    <row r="19" spans="1:36" x14ac:dyDescent="0.25">
      <c r="A19" s="22">
        <v>1</v>
      </c>
      <c r="B19" s="22" t="s">
        <v>90</v>
      </c>
      <c r="C19" s="22" t="s">
        <v>91</v>
      </c>
      <c r="D19" s="22" t="s">
        <v>32</v>
      </c>
      <c r="E19" s="22" t="s">
        <v>92</v>
      </c>
      <c r="F19" s="22" t="s">
        <v>7</v>
      </c>
      <c r="G19" s="22" t="s">
        <v>33</v>
      </c>
      <c r="H19" s="23">
        <v>44627</v>
      </c>
      <c r="I19" s="23">
        <v>46407</v>
      </c>
      <c r="J19" s="24">
        <v>1.6250000000000001E-2</v>
      </c>
      <c r="K19" s="25"/>
      <c r="L19" s="22">
        <v>1</v>
      </c>
      <c r="M19" s="22" t="s">
        <v>93</v>
      </c>
      <c r="N19" s="22" t="s">
        <v>159</v>
      </c>
      <c r="O19" s="22" t="s">
        <v>161</v>
      </c>
      <c r="P19" s="22" t="s">
        <v>34</v>
      </c>
      <c r="Q19" s="22"/>
      <c r="R19" s="22"/>
      <c r="S19" s="22"/>
      <c r="T19" s="22"/>
      <c r="U19" s="22"/>
      <c r="V19" s="22"/>
      <c r="W19" s="22" t="s">
        <v>35</v>
      </c>
      <c r="X19" s="22">
        <v>1</v>
      </c>
      <c r="Y19" s="22" t="s">
        <v>147</v>
      </c>
      <c r="Z19" s="22" t="s">
        <v>94</v>
      </c>
      <c r="AA19" s="22"/>
      <c r="AB19" s="18">
        <v>3.2712328767123289</v>
      </c>
      <c r="AC19" s="19">
        <v>0</v>
      </c>
      <c r="AD19" s="19">
        <v>0</v>
      </c>
      <c r="AE19" s="19"/>
      <c r="AF19" s="19"/>
      <c r="AG19" s="19"/>
      <c r="AH19" s="19">
        <v>7</v>
      </c>
      <c r="AI19" s="20" t="s">
        <v>147</v>
      </c>
      <c r="AJ19" s="21">
        <v>103.04105962862911</v>
      </c>
    </row>
    <row r="20" spans="1:36" x14ac:dyDescent="0.25">
      <c r="A20" s="14">
        <v>1</v>
      </c>
      <c r="B20" s="14" t="s">
        <v>95</v>
      </c>
      <c r="C20" s="14" t="s">
        <v>96</v>
      </c>
      <c r="D20" s="14" t="s">
        <v>32</v>
      </c>
      <c r="E20" s="14" t="s">
        <v>97</v>
      </c>
      <c r="F20" s="14" t="s">
        <v>7</v>
      </c>
      <c r="G20" s="14" t="s">
        <v>33</v>
      </c>
      <c r="H20" s="15">
        <v>44649</v>
      </c>
      <c r="I20" s="15">
        <v>46652</v>
      </c>
      <c r="J20" s="16">
        <v>0</v>
      </c>
      <c r="K20" s="17"/>
      <c r="L20" s="14">
        <v>1</v>
      </c>
      <c r="M20" s="14" t="s">
        <v>98</v>
      </c>
      <c r="N20" s="14" t="s">
        <v>159</v>
      </c>
      <c r="O20" s="14" t="s">
        <v>161</v>
      </c>
      <c r="P20" s="14" t="s">
        <v>34</v>
      </c>
      <c r="Q20" s="14"/>
      <c r="R20" s="14"/>
      <c r="S20" s="14"/>
      <c r="T20" s="14"/>
      <c r="U20" s="14"/>
      <c r="V20" s="14"/>
      <c r="W20" s="14" t="s">
        <v>35</v>
      </c>
      <c r="X20" s="14">
        <v>1</v>
      </c>
      <c r="Y20" s="14" t="s">
        <v>152</v>
      </c>
      <c r="Z20" s="14" t="s">
        <v>38</v>
      </c>
      <c r="AA20" s="14"/>
      <c r="AB20" s="18">
        <v>3.9424657534246577</v>
      </c>
      <c r="AC20" s="19">
        <v>0</v>
      </c>
      <c r="AD20" s="19">
        <v>-7</v>
      </c>
      <c r="AE20" s="19"/>
      <c r="AF20" s="19"/>
      <c r="AG20" s="19"/>
      <c r="AH20" s="19">
        <v>-6</v>
      </c>
      <c r="AI20" s="20" t="s">
        <v>152</v>
      </c>
      <c r="AJ20" s="21">
        <v>-7.6341807126562458</v>
      </c>
    </row>
    <row r="21" spans="1:36" x14ac:dyDescent="0.25">
      <c r="A21" s="22">
        <v>1</v>
      </c>
      <c r="B21" s="22" t="s">
        <v>99</v>
      </c>
      <c r="C21" s="22" t="s">
        <v>100</v>
      </c>
      <c r="D21" s="22" t="s">
        <v>32</v>
      </c>
      <c r="E21" s="22" t="s">
        <v>101</v>
      </c>
      <c r="F21" s="22" t="s">
        <v>7</v>
      </c>
      <c r="G21" s="22" t="s">
        <v>33</v>
      </c>
      <c r="H21" s="23">
        <v>44649</v>
      </c>
      <c r="I21" s="23">
        <v>46703</v>
      </c>
      <c r="J21" s="24">
        <v>1E-4</v>
      </c>
      <c r="K21" s="25"/>
      <c r="L21" s="22">
        <v>1</v>
      </c>
      <c r="M21" s="22" t="s">
        <v>102</v>
      </c>
      <c r="N21" s="22" t="s">
        <v>159</v>
      </c>
      <c r="O21" s="22" t="s">
        <v>161</v>
      </c>
      <c r="P21" s="22" t="s">
        <v>34</v>
      </c>
      <c r="Q21" s="22"/>
      <c r="R21" s="22"/>
      <c r="S21" s="22"/>
      <c r="T21" s="22"/>
      <c r="U21" s="22"/>
      <c r="V21" s="22"/>
      <c r="W21" s="22" t="s">
        <v>35</v>
      </c>
      <c r="X21" s="22">
        <v>1</v>
      </c>
      <c r="Y21" s="22" t="s">
        <v>146</v>
      </c>
      <c r="Z21" s="22" t="s">
        <v>38</v>
      </c>
      <c r="AA21" s="22"/>
      <c r="AB21" s="18">
        <v>4.0821917808219181</v>
      </c>
      <c r="AC21" s="19">
        <v>0</v>
      </c>
      <c r="AD21" s="19">
        <v>0</v>
      </c>
      <c r="AE21" s="19"/>
      <c r="AF21" s="19"/>
      <c r="AG21" s="19"/>
      <c r="AH21" s="19">
        <v>5</v>
      </c>
      <c r="AI21" s="20" t="s">
        <v>146</v>
      </c>
      <c r="AJ21" s="21">
        <v>87.830472886390879</v>
      </c>
    </row>
    <row r="22" spans="1:36" x14ac:dyDescent="0.25">
      <c r="A22" s="14">
        <v>1</v>
      </c>
      <c r="B22" s="14" t="s">
        <v>103</v>
      </c>
      <c r="C22" s="14" t="s">
        <v>104</v>
      </c>
      <c r="D22" s="14" t="s">
        <v>32</v>
      </c>
      <c r="E22" s="14" t="s">
        <v>105</v>
      </c>
      <c r="F22" s="14" t="s">
        <v>7</v>
      </c>
      <c r="G22" s="14" t="s">
        <v>33</v>
      </c>
      <c r="H22" s="15">
        <v>44649</v>
      </c>
      <c r="I22" s="15">
        <v>46793</v>
      </c>
      <c r="J22" s="16">
        <v>1.25E-3</v>
      </c>
      <c r="K22" s="17"/>
      <c r="L22" s="14">
        <v>1</v>
      </c>
      <c r="M22" s="14" t="s">
        <v>106</v>
      </c>
      <c r="N22" s="14" t="s">
        <v>159</v>
      </c>
      <c r="O22" s="14" t="s">
        <v>161</v>
      </c>
      <c r="P22" s="14" t="s">
        <v>34</v>
      </c>
      <c r="Q22" s="14"/>
      <c r="R22" s="14"/>
      <c r="S22" s="14"/>
      <c r="T22" s="14"/>
      <c r="U22" s="14"/>
      <c r="V22" s="14"/>
      <c r="W22" s="14" t="s">
        <v>35</v>
      </c>
      <c r="X22" s="14">
        <v>1</v>
      </c>
      <c r="Y22" s="14" t="s">
        <v>151</v>
      </c>
      <c r="Z22" s="14" t="s">
        <v>38</v>
      </c>
      <c r="AA22" s="14"/>
      <c r="AB22" s="18">
        <v>4.3287671232876717</v>
      </c>
      <c r="AC22" s="19">
        <v>0</v>
      </c>
      <c r="AD22" s="19">
        <v>0</v>
      </c>
      <c r="AE22" s="19"/>
      <c r="AF22" s="19"/>
      <c r="AG22" s="19"/>
      <c r="AH22" s="19">
        <v>4</v>
      </c>
      <c r="AI22" s="20" t="s">
        <v>151</v>
      </c>
      <c r="AJ22" s="21">
        <v>79.608407898747942</v>
      </c>
    </row>
    <row r="23" spans="1:36" x14ac:dyDescent="0.25">
      <c r="A23" s="22">
        <v>1</v>
      </c>
      <c r="B23" s="22" t="s">
        <v>107</v>
      </c>
      <c r="C23" s="22" t="s">
        <v>108</v>
      </c>
      <c r="D23" s="22" t="s">
        <v>32</v>
      </c>
      <c r="E23" s="22" t="s">
        <v>109</v>
      </c>
      <c r="F23" s="22" t="s">
        <v>7</v>
      </c>
      <c r="G23" s="22" t="s">
        <v>33</v>
      </c>
      <c r="H23" s="23">
        <v>44680</v>
      </c>
      <c r="I23" s="23">
        <v>46421</v>
      </c>
      <c r="J23" s="24">
        <v>1.375E-2</v>
      </c>
      <c r="K23" s="25"/>
      <c r="L23" s="22">
        <v>1</v>
      </c>
      <c r="M23" s="22" t="s">
        <v>110</v>
      </c>
      <c r="N23" s="22" t="s">
        <v>159</v>
      </c>
      <c r="O23" s="22" t="s">
        <v>162</v>
      </c>
      <c r="P23" s="22" t="s">
        <v>34</v>
      </c>
      <c r="Q23" s="22"/>
      <c r="R23" s="22"/>
      <c r="S23" s="22"/>
      <c r="T23" s="22"/>
      <c r="U23" s="22"/>
      <c r="V23" s="22"/>
      <c r="W23" s="22" t="s">
        <v>35</v>
      </c>
      <c r="X23" s="22">
        <v>1</v>
      </c>
      <c r="Y23" s="22" t="s">
        <v>146</v>
      </c>
      <c r="Z23" s="22" t="s">
        <v>38</v>
      </c>
      <c r="AA23" s="22"/>
      <c r="AB23" s="18">
        <v>3.3095890410958906</v>
      </c>
      <c r="AC23" s="19">
        <v>0</v>
      </c>
      <c r="AD23" s="19">
        <v>0</v>
      </c>
      <c r="AE23" s="19"/>
      <c r="AF23" s="19"/>
      <c r="AG23" s="19"/>
      <c r="AH23" s="19">
        <v>5</v>
      </c>
      <c r="AI23" s="20" t="s">
        <v>146</v>
      </c>
      <c r="AJ23" s="21">
        <v>82.854788834174116</v>
      </c>
    </row>
    <row r="24" spans="1:36" x14ac:dyDescent="0.25">
      <c r="A24" s="14">
        <v>1</v>
      </c>
      <c r="B24" s="14" t="s">
        <v>209</v>
      </c>
      <c r="C24" s="14" t="s">
        <v>210</v>
      </c>
      <c r="D24" s="14" t="s">
        <v>211</v>
      </c>
      <c r="E24" s="14" t="s">
        <v>92</v>
      </c>
      <c r="F24" s="14" t="s">
        <v>7</v>
      </c>
      <c r="G24" s="14" t="s">
        <v>33</v>
      </c>
      <c r="H24" s="15">
        <v>43994</v>
      </c>
      <c r="I24" s="15">
        <v>46183</v>
      </c>
      <c r="J24" s="16">
        <v>1.375E-2</v>
      </c>
      <c r="K24" s="17"/>
      <c r="L24" s="14">
        <v>1</v>
      </c>
      <c r="M24" s="14" t="s">
        <v>93</v>
      </c>
      <c r="N24" s="14" t="s">
        <v>159</v>
      </c>
      <c r="O24" s="14" t="s">
        <v>161</v>
      </c>
      <c r="P24" s="14" t="s">
        <v>191</v>
      </c>
      <c r="Q24" s="14">
        <v>1</v>
      </c>
      <c r="R24" s="14" t="s">
        <v>192</v>
      </c>
      <c r="S24" s="14">
        <v>0</v>
      </c>
      <c r="T24" s="14">
        <v>1</v>
      </c>
      <c r="U24" s="14">
        <v>1.67E-2</v>
      </c>
      <c r="V24" s="14"/>
      <c r="W24" s="14" t="s">
        <v>212</v>
      </c>
      <c r="X24" s="14">
        <v>1</v>
      </c>
      <c r="Y24" s="14" t="s">
        <v>147</v>
      </c>
      <c r="Z24" s="14" t="s">
        <v>94</v>
      </c>
      <c r="AA24" s="14"/>
      <c r="AB24" s="18">
        <v>2.6575342465753424</v>
      </c>
      <c r="AC24" s="19">
        <v>0</v>
      </c>
      <c r="AD24" s="19">
        <v>0</v>
      </c>
      <c r="AE24" s="19"/>
      <c r="AF24" s="19"/>
      <c r="AG24" s="19"/>
      <c r="AH24" s="19">
        <v>7</v>
      </c>
      <c r="AI24" s="20" t="s">
        <v>147</v>
      </c>
      <c r="AJ24" s="21">
        <v>96.032183750434456</v>
      </c>
    </row>
    <row r="25" spans="1:36" x14ac:dyDescent="0.25">
      <c r="A25" s="22">
        <v>1</v>
      </c>
      <c r="B25" s="22" t="s">
        <v>111</v>
      </c>
      <c r="C25" s="22" t="s">
        <v>112</v>
      </c>
      <c r="D25" s="22" t="s">
        <v>32</v>
      </c>
      <c r="E25" s="22" t="s">
        <v>113</v>
      </c>
      <c r="F25" s="22" t="s">
        <v>7</v>
      </c>
      <c r="G25" s="22" t="s">
        <v>33</v>
      </c>
      <c r="H25" s="23">
        <v>44680</v>
      </c>
      <c r="I25" s="23">
        <v>45763</v>
      </c>
      <c r="J25" s="24">
        <v>0.01</v>
      </c>
      <c r="K25" s="25"/>
      <c r="L25" s="22">
        <v>1</v>
      </c>
      <c r="M25" s="22" t="s">
        <v>114</v>
      </c>
      <c r="N25" s="22" t="s">
        <v>159</v>
      </c>
      <c r="O25" s="22" t="s">
        <v>162</v>
      </c>
      <c r="P25" s="22" t="s">
        <v>34</v>
      </c>
      <c r="Q25" s="22"/>
      <c r="R25" s="22"/>
      <c r="S25" s="22"/>
      <c r="T25" s="22"/>
      <c r="U25" s="22"/>
      <c r="V25" s="22"/>
      <c r="W25" s="22" t="s">
        <v>35</v>
      </c>
      <c r="X25" s="22">
        <v>1</v>
      </c>
      <c r="Y25" s="22" t="s">
        <v>150</v>
      </c>
      <c r="Z25" s="22" t="s">
        <v>38</v>
      </c>
      <c r="AA25" s="22"/>
      <c r="AB25" s="18">
        <v>1.5068493150684932</v>
      </c>
      <c r="AC25" s="19">
        <v>0</v>
      </c>
      <c r="AD25" s="19">
        <v>0</v>
      </c>
      <c r="AE25" s="19"/>
      <c r="AF25" s="19"/>
      <c r="AG25" s="19"/>
      <c r="AH25" s="19">
        <v>6</v>
      </c>
      <c r="AI25" s="20" t="s">
        <v>150</v>
      </c>
      <c r="AJ25" s="21">
        <v>67.591786217149561</v>
      </c>
    </row>
    <row r="26" spans="1:36" x14ac:dyDescent="0.25">
      <c r="A26" s="14">
        <v>1</v>
      </c>
      <c r="B26" s="14" t="s">
        <v>115</v>
      </c>
      <c r="C26" s="14" t="s">
        <v>116</v>
      </c>
      <c r="D26" s="14" t="s">
        <v>32</v>
      </c>
      <c r="E26" s="14" t="s">
        <v>117</v>
      </c>
      <c r="F26" s="14" t="s">
        <v>7</v>
      </c>
      <c r="G26" s="14" t="s">
        <v>33</v>
      </c>
      <c r="H26" s="15">
        <v>44676</v>
      </c>
      <c r="I26" s="15">
        <v>45761</v>
      </c>
      <c r="J26" s="16">
        <v>1.375E-2</v>
      </c>
      <c r="K26" s="17"/>
      <c r="L26" s="14">
        <v>1</v>
      </c>
      <c r="M26" s="14" t="s">
        <v>118</v>
      </c>
      <c r="N26" s="14" t="s">
        <v>159</v>
      </c>
      <c r="O26" s="14" t="s">
        <v>160</v>
      </c>
      <c r="P26" s="14" t="s">
        <v>34</v>
      </c>
      <c r="Q26" s="14"/>
      <c r="R26" s="14"/>
      <c r="S26" s="14"/>
      <c r="T26" s="14"/>
      <c r="U26" s="14"/>
      <c r="V26" s="14"/>
      <c r="W26" s="14" t="s">
        <v>35</v>
      </c>
      <c r="X26" s="14">
        <v>1</v>
      </c>
      <c r="Y26" s="14" t="s">
        <v>150</v>
      </c>
      <c r="Z26" s="14" t="s">
        <v>38</v>
      </c>
      <c r="AA26" s="14"/>
      <c r="AB26" s="18">
        <v>1.5013698630136987</v>
      </c>
      <c r="AC26" s="19">
        <v>0</v>
      </c>
      <c r="AD26" s="19">
        <v>0</v>
      </c>
      <c r="AE26" s="19"/>
      <c r="AF26" s="19"/>
      <c r="AG26" s="19"/>
      <c r="AH26" s="19">
        <v>6</v>
      </c>
      <c r="AI26" s="20" t="s">
        <v>150</v>
      </c>
      <c r="AJ26" s="21">
        <v>67.480270769477514</v>
      </c>
    </row>
    <row r="27" spans="1:36" x14ac:dyDescent="0.25">
      <c r="A27" s="22">
        <v>1</v>
      </c>
      <c r="B27" s="22" t="s">
        <v>119</v>
      </c>
      <c r="C27" s="22" t="s">
        <v>120</v>
      </c>
      <c r="D27" s="22" t="s">
        <v>32</v>
      </c>
      <c r="E27" s="22" t="s">
        <v>39</v>
      </c>
      <c r="F27" s="22" t="s">
        <v>7</v>
      </c>
      <c r="G27" s="22" t="s">
        <v>33</v>
      </c>
      <c r="H27" s="23">
        <v>44705</v>
      </c>
      <c r="I27" s="23">
        <v>46568</v>
      </c>
      <c r="J27" s="24">
        <v>1.8749999999999999E-2</v>
      </c>
      <c r="K27" s="25"/>
      <c r="L27" s="22">
        <v>1</v>
      </c>
      <c r="M27" s="22" t="s">
        <v>40</v>
      </c>
      <c r="N27" s="22" t="s">
        <v>159</v>
      </c>
      <c r="O27" s="22" t="s">
        <v>160</v>
      </c>
      <c r="P27" s="22" t="s">
        <v>34</v>
      </c>
      <c r="Q27" s="22"/>
      <c r="R27" s="22"/>
      <c r="S27" s="22"/>
      <c r="T27" s="22"/>
      <c r="U27" s="22"/>
      <c r="V27" s="22"/>
      <c r="W27" s="22" t="s">
        <v>35</v>
      </c>
      <c r="X27" s="22">
        <v>1</v>
      </c>
      <c r="Y27" s="22" t="s">
        <v>146</v>
      </c>
      <c r="Z27" s="22" t="s">
        <v>38</v>
      </c>
      <c r="AA27" s="22"/>
      <c r="AB27" s="18">
        <v>3.7123287671232879</v>
      </c>
      <c r="AC27" s="19">
        <v>0</v>
      </c>
      <c r="AD27" s="19">
        <v>0</v>
      </c>
      <c r="AE27" s="19"/>
      <c r="AF27" s="19"/>
      <c r="AG27" s="19"/>
      <c r="AH27" s="19">
        <v>5</v>
      </c>
      <c r="AI27" s="20" t="s">
        <v>146</v>
      </c>
      <c r="AJ27" s="21">
        <v>85.561808082431469</v>
      </c>
    </row>
    <row r="28" spans="1:36" x14ac:dyDescent="0.25">
      <c r="A28" s="14">
        <v>1</v>
      </c>
      <c r="B28" s="14" t="s">
        <v>121</v>
      </c>
      <c r="C28" s="14" t="s">
        <v>122</v>
      </c>
      <c r="D28" s="14" t="s">
        <v>32</v>
      </c>
      <c r="E28" s="14" t="s">
        <v>109</v>
      </c>
      <c r="F28" s="14" t="s">
        <v>7</v>
      </c>
      <c r="G28" s="14" t="s">
        <v>33</v>
      </c>
      <c r="H28" s="15">
        <v>44697</v>
      </c>
      <c r="I28" s="15">
        <v>45349</v>
      </c>
      <c r="J28" s="16">
        <v>6.2500000000000003E-3</v>
      </c>
      <c r="K28" s="17"/>
      <c r="L28" s="14">
        <v>1</v>
      </c>
      <c r="M28" s="14" t="s">
        <v>110</v>
      </c>
      <c r="N28" s="14" t="s">
        <v>159</v>
      </c>
      <c r="O28" s="14" t="s">
        <v>162</v>
      </c>
      <c r="P28" s="14" t="s">
        <v>34</v>
      </c>
      <c r="Q28" s="14"/>
      <c r="R28" s="14"/>
      <c r="S28" s="14"/>
      <c r="T28" s="14"/>
      <c r="U28" s="14"/>
      <c r="V28" s="14"/>
      <c r="W28" s="14" t="s">
        <v>35</v>
      </c>
      <c r="X28" s="14">
        <v>1</v>
      </c>
      <c r="Y28" s="14" t="s">
        <v>146</v>
      </c>
      <c r="Z28" s="14" t="s">
        <v>38</v>
      </c>
      <c r="AA28" s="14"/>
      <c r="AB28" s="18">
        <v>0.37260273972602742</v>
      </c>
      <c r="AC28" s="19">
        <v>0</v>
      </c>
      <c r="AD28" s="19">
        <v>0</v>
      </c>
      <c r="AE28" s="19"/>
      <c r="AF28" s="19"/>
      <c r="AG28" s="19"/>
      <c r="AH28" s="19">
        <v>5</v>
      </c>
      <c r="AI28" s="20" t="s">
        <v>146</v>
      </c>
      <c r="AJ28" s="21">
        <v>39.957876282072206</v>
      </c>
    </row>
    <row r="29" spans="1:36" x14ac:dyDescent="0.25">
      <c r="A29" s="22">
        <v>1</v>
      </c>
      <c r="B29" s="22" t="s">
        <v>123</v>
      </c>
      <c r="C29" s="22" t="s">
        <v>124</v>
      </c>
      <c r="D29" s="22" t="s">
        <v>32</v>
      </c>
      <c r="E29" s="22" t="s">
        <v>125</v>
      </c>
      <c r="F29" s="22" t="s">
        <v>7</v>
      </c>
      <c r="G29" s="22" t="s">
        <v>33</v>
      </c>
      <c r="H29" s="23">
        <v>44714</v>
      </c>
      <c r="I29" s="23">
        <v>45838</v>
      </c>
      <c r="J29" s="24">
        <v>2.5000000000000001E-3</v>
      </c>
      <c r="K29" s="25"/>
      <c r="L29" s="22">
        <v>1</v>
      </c>
      <c r="M29" s="22" t="s">
        <v>126</v>
      </c>
      <c r="N29" s="22" t="s">
        <v>159</v>
      </c>
      <c r="O29" s="22" t="s">
        <v>160</v>
      </c>
      <c r="P29" s="22" t="s">
        <v>34</v>
      </c>
      <c r="Q29" s="22"/>
      <c r="R29" s="22"/>
      <c r="S29" s="22"/>
      <c r="T29" s="22"/>
      <c r="U29" s="22"/>
      <c r="V29" s="22"/>
      <c r="W29" s="22" t="s">
        <v>35</v>
      </c>
      <c r="X29" s="22">
        <v>1</v>
      </c>
      <c r="Y29" s="22" t="s">
        <v>152</v>
      </c>
      <c r="Z29" s="22" t="s">
        <v>38</v>
      </c>
      <c r="AA29" s="22"/>
      <c r="AB29" s="18">
        <v>1.7123287671232876</v>
      </c>
      <c r="AC29" s="19">
        <v>0</v>
      </c>
      <c r="AD29" s="19">
        <v>-7</v>
      </c>
      <c r="AE29" s="19"/>
      <c r="AF29" s="19"/>
      <c r="AG29" s="19"/>
      <c r="AH29" s="19">
        <v>-6</v>
      </c>
      <c r="AI29" s="20" t="s">
        <v>152</v>
      </c>
      <c r="AJ29" s="21">
        <v>-5.647149699603716</v>
      </c>
    </row>
    <row r="30" spans="1:36" x14ac:dyDescent="0.25">
      <c r="A30" s="14">
        <v>1</v>
      </c>
      <c r="B30" s="14" t="s">
        <v>213</v>
      </c>
      <c r="C30" s="14" t="s">
        <v>214</v>
      </c>
      <c r="D30" s="14" t="s">
        <v>32</v>
      </c>
      <c r="E30" s="14" t="s">
        <v>39</v>
      </c>
      <c r="F30" s="14" t="s">
        <v>7</v>
      </c>
      <c r="G30" s="14" t="s">
        <v>33</v>
      </c>
      <c r="H30" s="15">
        <v>44739</v>
      </c>
      <c r="I30" s="15">
        <v>46568</v>
      </c>
      <c r="J30" s="16">
        <v>1.8749999999999999E-2</v>
      </c>
      <c r="K30" s="17"/>
      <c r="L30" s="14">
        <v>1</v>
      </c>
      <c r="M30" s="14" t="s">
        <v>40</v>
      </c>
      <c r="N30" s="14" t="s">
        <v>159</v>
      </c>
      <c r="O30" s="14" t="s">
        <v>160</v>
      </c>
      <c r="P30" s="14" t="s">
        <v>191</v>
      </c>
      <c r="Q30" s="14">
        <v>1</v>
      </c>
      <c r="R30" s="14" t="s">
        <v>192</v>
      </c>
      <c r="S30" s="14">
        <v>0</v>
      </c>
      <c r="T30" s="14">
        <v>1</v>
      </c>
      <c r="U30" s="14">
        <v>0</v>
      </c>
      <c r="V30" s="14"/>
      <c r="W30" s="14" t="s">
        <v>212</v>
      </c>
      <c r="X30" s="14">
        <v>1</v>
      </c>
      <c r="Y30" s="14" t="s">
        <v>146</v>
      </c>
      <c r="Z30" s="14" t="s">
        <v>38</v>
      </c>
      <c r="AA30" s="14"/>
      <c r="AB30" s="18">
        <v>3.7123287671232879</v>
      </c>
      <c r="AC30" s="19">
        <v>0</v>
      </c>
      <c r="AD30" s="19">
        <v>0</v>
      </c>
      <c r="AE30" s="19"/>
      <c r="AF30" s="19"/>
      <c r="AG30" s="19"/>
      <c r="AH30" s="19">
        <v>5</v>
      </c>
      <c r="AI30" s="20" t="s">
        <v>146</v>
      </c>
      <c r="AJ30" s="21">
        <v>85.561808082431469</v>
      </c>
    </row>
    <row r="31" spans="1:36" x14ac:dyDescent="0.25">
      <c r="A31" s="22">
        <v>1</v>
      </c>
      <c r="B31" s="22" t="s">
        <v>127</v>
      </c>
      <c r="C31" s="22" t="s">
        <v>128</v>
      </c>
      <c r="D31" s="22" t="s">
        <v>32</v>
      </c>
      <c r="E31" s="22" t="s">
        <v>129</v>
      </c>
      <c r="F31" s="22" t="s">
        <v>7</v>
      </c>
      <c r="G31" s="22" t="s">
        <v>33</v>
      </c>
      <c r="H31" s="23">
        <v>44802</v>
      </c>
      <c r="I31" s="23">
        <v>46310</v>
      </c>
      <c r="J31" s="24">
        <v>1E-3</v>
      </c>
      <c r="K31" s="25"/>
      <c r="L31" s="22">
        <v>1</v>
      </c>
      <c r="M31" s="22" t="s">
        <v>130</v>
      </c>
      <c r="N31" s="22" t="s">
        <v>159</v>
      </c>
      <c r="O31" s="22" t="s">
        <v>163</v>
      </c>
      <c r="P31" s="22" t="s">
        <v>34</v>
      </c>
      <c r="Q31" s="22"/>
      <c r="R31" s="22"/>
      <c r="S31" s="22"/>
      <c r="T31" s="22"/>
      <c r="U31" s="22"/>
      <c r="V31" s="22"/>
      <c r="W31" s="22" t="s">
        <v>35</v>
      </c>
      <c r="X31" s="22">
        <v>1</v>
      </c>
      <c r="Y31" s="22" t="s">
        <v>152</v>
      </c>
      <c r="Z31" s="22" t="s">
        <v>38</v>
      </c>
      <c r="AA31" s="22"/>
      <c r="AB31" s="18">
        <v>3.0054794520547947</v>
      </c>
      <c r="AC31" s="19">
        <v>0</v>
      </c>
      <c r="AD31" s="19">
        <v>-7</v>
      </c>
      <c r="AE31" s="19"/>
      <c r="AF31" s="19"/>
      <c r="AG31" s="19"/>
      <c r="AH31" s="19">
        <v>-6</v>
      </c>
      <c r="AI31" s="20" t="s">
        <v>152</v>
      </c>
      <c r="AJ31" s="21">
        <v>-7.0822289337385467</v>
      </c>
    </row>
    <row r="32" spans="1:36" x14ac:dyDescent="0.25">
      <c r="A32" s="14">
        <v>1</v>
      </c>
      <c r="B32" s="14" t="s">
        <v>131</v>
      </c>
      <c r="C32" s="14" t="s">
        <v>132</v>
      </c>
      <c r="D32" s="14" t="s">
        <v>32</v>
      </c>
      <c r="E32" s="14" t="s">
        <v>39</v>
      </c>
      <c r="F32" s="14" t="s">
        <v>7</v>
      </c>
      <c r="G32" s="14" t="s">
        <v>33</v>
      </c>
      <c r="H32" s="15">
        <v>44825</v>
      </c>
      <c r="I32" s="15">
        <v>45921</v>
      </c>
      <c r="J32" s="16">
        <v>2.8750000000000001E-2</v>
      </c>
      <c r="K32" s="17"/>
      <c r="L32" s="14">
        <v>1</v>
      </c>
      <c r="M32" s="14" t="s">
        <v>40</v>
      </c>
      <c r="N32" s="14" t="s">
        <v>159</v>
      </c>
      <c r="O32" s="14" t="s">
        <v>160</v>
      </c>
      <c r="P32" s="14" t="s">
        <v>34</v>
      </c>
      <c r="Q32" s="14"/>
      <c r="R32" s="14"/>
      <c r="S32" s="14"/>
      <c r="T32" s="14"/>
      <c r="U32" s="14"/>
      <c r="V32" s="14"/>
      <c r="W32" s="14" t="s">
        <v>35</v>
      </c>
      <c r="X32" s="14">
        <v>1</v>
      </c>
      <c r="Y32" s="14" t="s">
        <v>146</v>
      </c>
      <c r="Z32" s="14" t="s">
        <v>38</v>
      </c>
      <c r="AA32" s="14"/>
      <c r="AB32" s="18">
        <v>1.9397260273972603</v>
      </c>
      <c r="AC32" s="19">
        <v>0</v>
      </c>
      <c r="AD32" s="19">
        <v>0</v>
      </c>
      <c r="AE32" s="19"/>
      <c r="AF32" s="19"/>
      <c r="AG32" s="19"/>
      <c r="AH32" s="19">
        <v>5</v>
      </c>
      <c r="AI32" s="20" t="s">
        <v>146</v>
      </c>
      <c r="AJ32" s="21">
        <v>68.590722435847425</v>
      </c>
    </row>
    <row r="33" spans="1:36" x14ac:dyDescent="0.25">
      <c r="A33" s="22">
        <v>1</v>
      </c>
      <c r="B33" s="22" t="s">
        <v>135</v>
      </c>
      <c r="C33" s="22" t="s">
        <v>136</v>
      </c>
      <c r="D33" s="22" t="s">
        <v>32</v>
      </c>
      <c r="E33" s="22" t="s">
        <v>133</v>
      </c>
      <c r="F33" s="22" t="s">
        <v>7</v>
      </c>
      <c r="G33" s="22" t="s">
        <v>33</v>
      </c>
      <c r="H33" s="23">
        <v>44819</v>
      </c>
      <c r="I33" s="23">
        <v>46557</v>
      </c>
      <c r="J33" s="24">
        <v>6.2500000000000003E-3</v>
      </c>
      <c r="K33" s="25"/>
      <c r="L33" s="22">
        <v>1</v>
      </c>
      <c r="M33" s="22" t="s">
        <v>134</v>
      </c>
      <c r="N33" s="22" t="s">
        <v>159</v>
      </c>
      <c r="O33" s="22" t="s">
        <v>162</v>
      </c>
      <c r="P33" s="22" t="s">
        <v>34</v>
      </c>
      <c r="Q33" s="22"/>
      <c r="R33" s="22"/>
      <c r="S33" s="22"/>
      <c r="T33" s="22"/>
      <c r="U33" s="22"/>
      <c r="V33" s="22"/>
      <c r="W33" s="22" t="s">
        <v>35</v>
      </c>
      <c r="X33" s="22">
        <v>1</v>
      </c>
      <c r="Y33" s="22" t="s">
        <v>152</v>
      </c>
      <c r="Z33" s="22" t="s">
        <v>38</v>
      </c>
      <c r="AA33" s="22"/>
      <c r="AB33" s="18">
        <v>3.6821917808219178</v>
      </c>
      <c r="AC33" s="19">
        <v>0</v>
      </c>
      <c r="AD33" s="19">
        <v>-7</v>
      </c>
      <c r="AE33" s="19"/>
      <c r="AF33" s="19"/>
      <c r="AG33" s="19"/>
      <c r="AH33" s="19">
        <v>-6</v>
      </c>
      <c r="AI33" s="20" t="s">
        <v>152</v>
      </c>
      <c r="AJ33" s="21">
        <v>-7.4808607740680486</v>
      </c>
    </row>
    <row r="34" spans="1:36" x14ac:dyDescent="0.25">
      <c r="A34" s="14">
        <v>1</v>
      </c>
      <c r="B34" s="14" t="s">
        <v>137</v>
      </c>
      <c r="C34" s="14" t="s">
        <v>138</v>
      </c>
      <c r="D34" s="14" t="s">
        <v>32</v>
      </c>
      <c r="E34" s="14" t="s">
        <v>97</v>
      </c>
      <c r="F34" s="14" t="s">
        <v>7</v>
      </c>
      <c r="G34" s="14" t="s">
        <v>33</v>
      </c>
      <c r="H34" s="15">
        <v>44830</v>
      </c>
      <c r="I34" s="15">
        <v>45488</v>
      </c>
      <c r="J34" s="16">
        <v>2.5000000000000001E-3</v>
      </c>
      <c r="K34" s="17"/>
      <c r="L34" s="14">
        <v>1</v>
      </c>
      <c r="M34" s="14" t="s">
        <v>98</v>
      </c>
      <c r="N34" s="14" t="s">
        <v>159</v>
      </c>
      <c r="O34" s="14" t="s">
        <v>161</v>
      </c>
      <c r="P34" s="14" t="s">
        <v>34</v>
      </c>
      <c r="Q34" s="14"/>
      <c r="R34" s="14"/>
      <c r="S34" s="14"/>
      <c r="T34" s="14"/>
      <c r="U34" s="14"/>
      <c r="V34" s="14"/>
      <c r="W34" s="14" t="s">
        <v>35</v>
      </c>
      <c r="X34" s="14">
        <v>1</v>
      </c>
      <c r="Y34" s="14" t="s">
        <v>152</v>
      </c>
      <c r="Z34" s="14" t="s">
        <v>38</v>
      </c>
      <c r="AA34" s="14"/>
      <c r="AB34" s="18">
        <v>0.75342465753424659</v>
      </c>
      <c r="AC34" s="19">
        <v>0</v>
      </c>
      <c r="AD34" s="19">
        <v>-7</v>
      </c>
      <c r="AE34" s="19"/>
      <c r="AF34" s="19"/>
      <c r="AG34" s="19"/>
      <c r="AH34" s="19">
        <v>-6</v>
      </c>
      <c r="AI34" s="20" t="s">
        <v>152</v>
      </c>
      <c r="AJ34" s="21">
        <v>-4.1116930569539676</v>
      </c>
    </row>
    <row r="35" spans="1:36" x14ac:dyDescent="0.25">
      <c r="A35" s="22">
        <v>1</v>
      </c>
      <c r="B35" s="22" t="s">
        <v>139</v>
      </c>
      <c r="C35" s="22" t="s">
        <v>140</v>
      </c>
      <c r="D35" s="22" t="s">
        <v>32</v>
      </c>
      <c r="E35" s="22" t="s">
        <v>39</v>
      </c>
      <c r="F35" s="22" t="s">
        <v>7</v>
      </c>
      <c r="G35" s="22" t="s">
        <v>33</v>
      </c>
      <c r="H35" s="23">
        <v>44855</v>
      </c>
      <c r="I35" s="23">
        <v>46301</v>
      </c>
      <c r="J35" s="24">
        <v>2.1250000000000002E-2</v>
      </c>
      <c r="K35" s="25"/>
      <c r="L35" s="22">
        <v>1</v>
      </c>
      <c r="M35" s="22" t="s">
        <v>40</v>
      </c>
      <c r="N35" s="22" t="s">
        <v>159</v>
      </c>
      <c r="O35" s="22" t="s">
        <v>160</v>
      </c>
      <c r="P35" s="22" t="s">
        <v>34</v>
      </c>
      <c r="Q35" s="22"/>
      <c r="R35" s="22"/>
      <c r="S35" s="22"/>
      <c r="T35" s="22"/>
      <c r="U35" s="22"/>
      <c r="V35" s="22"/>
      <c r="W35" s="22" t="s">
        <v>35</v>
      </c>
      <c r="X35" s="22">
        <v>1</v>
      </c>
      <c r="Y35" s="22" t="s">
        <v>146</v>
      </c>
      <c r="Z35" s="22" t="s">
        <v>38</v>
      </c>
      <c r="AA35" s="22"/>
      <c r="AB35" s="18">
        <v>2.9808219178082194</v>
      </c>
      <c r="AC35" s="19">
        <v>0</v>
      </c>
      <c r="AD35" s="19">
        <v>0</v>
      </c>
      <c r="AE35" s="19"/>
      <c r="AF35" s="19"/>
      <c r="AG35" s="19"/>
      <c r="AH35" s="19">
        <v>5</v>
      </c>
      <c r="AI35" s="20" t="s">
        <v>146</v>
      </c>
      <c r="AJ35" s="21">
        <v>80.561353347394132</v>
      </c>
    </row>
    <row r="36" spans="1:36" x14ac:dyDescent="0.25">
      <c r="A36" s="14">
        <v>1</v>
      </c>
      <c r="B36" s="14">
        <v>2021001</v>
      </c>
      <c r="C36" s="14" t="s">
        <v>144</v>
      </c>
      <c r="D36" s="14" t="s">
        <v>32</v>
      </c>
      <c r="E36" s="14" t="s">
        <v>39</v>
      </c>
      <c r="F36" s="14" t="s">
        <v>228</v>
      </c>
      <c r="G36" s="14" t="s">
        <v>33</v>
      </c>
      <c r="H36" s="15">
        <v>44223</v>
      </c>
      <c r="I36" s="15">
        <v>46414</v>
      </c>
      <c r="J36" s="16">
        <v>4.4999999999999997E-3</v>
      </c>
      <c r="K36" s="17"/>
      <c r="L36" s="14">
        <v>1</v>
      </c>
      <c r="M36" s="14" t="s">
        <v>40</v>
      </c>
      <c r="N36" s="14" t="s">
        <v>159</v>
      </c>
      <c r="O36" s="14" t="s">
        <v>160</v>
      </c>
      <c r="P36" s="14" t="s">
        <v>34</v>
      </c>
      <c r="Q36" s="14"/>
      <c r="R36" s="14"/>
      <c r="S36" s="14"/>
      <c r="T36" s="14"/>
      <c r="U36" s="14"/>
      <c r="V36" s="14"/>
      <c r="W36" s="14" t="s">
        <v>35</v>
      </c>
      <c r="X36" s="14">
        <v>1</v>
      </c>
      <c r="Y36" s="14" t="s">
        <v>146</v>
      </c>
      <c r="Z36" s="14" t="s">
        <v>38</v>
      </c>
      <c r="AA36" s="14"/>
      <c r="AB36" s="18">
        <v>3.2904109589041095</v>
      </c>
      <c r="AC36" s="19">
        <v>0</v>
      </c>
      <c r="AD36" s="19">
        <v>0</v>
      </c>
      <c r="AE36" s="19"/>
      <c r="AF36" s="19"/>
      <c r="AG36" s="19"/>
      <c r="AH36" s="19">
        <v>5</v>
      </c>
      <c r="AI36" s="20" t="s">
        <v>146</v>
      </c>
      <c r="AJ36" s="21">
        <v>82.725883155685665</v>
      </c>
    </row>
    <row r="37" spans="1:36" x14ac:dyDescent="0.25">
      <c r="A37" s="22">
        <v>1</v>
      </c>
      <c r="B37" s="22" t="s">
        <v>229</v>
      </c>
      <c r="C37" s="22" t="s">
        <v>34</v>
      </c>
      <c r="D37" s="22" t="s">
        <v>218</v>
      </c>
      <c r="E37" s="22" t="s">
        <v>164</v>
      </c>
      <c r="F37" s="22" t="s">
        <v>7</v>
      </c>
      <c r="G37" s="22" t="s">
        <v>33</v>
      </c>
      <c r="H37" s="23">
        <v>45008</v>
      </c>
      <c r="I37" s="23">
        <v>46835</v>
      </c>
      <c r="J37" s="24">
        <v>6.0000000000000001E-3</v>
      </c>
      <c r="K37" s="25"/>
      <c r="L37" s="22">
        <v>1</v>
      </c>
      <c r="M37" s="22" t="s">
        <v>164</v>
      </c>
      <c r="N37" s="22" t="s">
        <v>159</v>
      </c>
      <c r="O37" s="22" t="s">
        <v>160</v>
      </c>
      <c r="P37" s="22" t="s">
        <v>34</v>
      </c>
      <c r="Q37" s="22"/>
      <c r="R37" s="22"/>
      <c r="S37" s="22"/>
      <c r="T37" s="22"/>
      <c r="U37" s="22"/>
      <c r="V37" s="22"/>
      <c r="W37" s="22" t="s">
        <v>35</v>
      </c>
      <c r="X37" s="22">
        <v>1</v>
      </c>
      <c r="Y37" s="22" t="s">
        <v>145</v>
      </c>
      <c r="Z37" s="22" t="s">
        <v>38</v>
      </c>
      <c r="AA37" s="22"/>
      <c r="AB37" s="18">
        <v>4.4438356164383563</v>
      </c>
      <c r="AC37" s="19">
        <v>0</v>
      </c>
      <c r="AD37" s="19">
        <v>0</v>
      </c>
      <c r="AE37" s="19"/>
      <c r="AF37" s="19"/>
      <c r="AG37" s="19"/>
      <c r="AH37" s="19">
        <v>9</v>
      </c>
      <c r="AI37" s="20" t="s">
        <v>145</v>
      </c>
      <c r="AJ37" s="21">
        <v>151.16212453725339</v>
      </c>
    </row>
    <row r="38" spans="1:36" x14ac:dyDescent="0.25">
      <c r="A38" s="14">
        <v>1</v>
      </c>
      <c r="B38" s="14" t="s">
        <v>230</v>
      </c>
      <c r="C38" s="14" t="s">
        <v>34</v>
      </c>
      <c r="D38" s="14" t="s">
        <v>221</v>
      </c>
      <c r="E38" s="14" t="s">
        <v>164</v>
      </c>
      <c r="F38" s="14" t="s">
        <v>7</v>
      </c>
      <c r="G38" s="14" t="s">
        <v>33</v>
      </c>
      <c r="H38" s="15">
        <v>45008</v>
      </c>
      <c r="I38" s="15">
        <v>48661</v>
      </c>
      <c r="J38" s="16">
        <v>8.0000000000000002E-3</v>
      </c>
      <c r="K38" s="17"/>
      <c r="L38" s="14">
        <v>1</v>
      </c>
      <c r="M38" s="14" t="s">
        <v>164</v>
      </c>
      <c r="N38" s="14" t="s">
        <v>159</v>
      </c>
      <c r="O38" s="14" t="s">
        <v>160</v>
      </c>
      <c r="P38" s="14" t="s">
        <v>34</v>
      </c>
      <c r="Q38" s="14"/>
      <c r="R38" s="14"/>
      <c r="S38" s="14"/>
      <c r="T38" s="14"/>
      <c r="U38" s="14"/>
      <c r="V38" s="14"/>
      <c r="W38" s="14" t="s">
        <v>35</v>
      </c>
      <c r="X38" s="14">
        <v>1</v>
      </c>
      <c r="Y38" s="14" t="s">
        <v>145</v>
      </c>
      <c r="Z38" s="14" t="s">
        <v>38</v>
      </c>
      <c r="AA38" s="14"/>
      <c r="AB38" s="18">
        <v>9.4465753424657528</v>
      </c>
      <c r="AC38" s="19">
        <v>0</v>
      </c>
      <c r="AD38" s="19">
        <v>0</v>
      </c>
      <c r="AE38" s="19"/>
      <c r="AF38" s="19"/>
      <c r="AG38" s="19"/>
      <c r="AH38" s="19">
        <v>9</v>
      </c>
      <c r="AI38" s="20" t="s">
        <v>145</v>
      </c>
      <c r="AJ38" s="21">
        <v>185.68409791151601</v>
      </c>
    </row>
    <row r="39" spans="1:36" x14ac:dyDescent="0.25">
      <c r="A39" s="22">
        <v>1</v>
      </c>
      <c r="B39" s="22" t="s">
        <v>215</v>
      </c>
      <c r="C39" s="22" t="s">
        <v>216</v>
      </c>
      <c r="D39" s="22"/>
      <c r="E39" s="22" t="s">
        <v>42</v>
      </c>
      <c r="F39" s="22" t="s">
        <v>7</v>
      </c>
      <c r="G39" s="22" t="s">
        <v>33</v>
      </c>
      <c r="H39" s="23">
        <v>44949</v>
      </c>
      <c r="I39" s="23">
        <v>47506</v>
      </c>
      <c r="J39" s="24">
        <v>0</v>
      </c>
      <c r="K39" s="25"/>
      <c r="L39" s="22">
        <v>4</v>
      </c>
      <c r="M39" s="22" t="s">
        <v>43</v>
      </c>
      <c r="N39" s="22" t="s">
        <v>159</v>
      </c>
      <c r="O39" s="22" t="s">
        <v>160</v>
      </c>
      <c r="P39" s="22" t="s">
        <v>191</v>
      </c>
      <c r="Q39" s="22">
        <v>1</v>
      </c>
      <c r="R39" s="22" t="s">
        <v>192</v>
      </c>
      <c r="S39" s="22">
        <v>3.4000000000000002E-2</v>
      </c>
      <c r="T39" s="22">
        <v>4.4999999999999998E-2</v>
      </c>
      <c r="U39" s="22">
        <v>0</v>
      </c>
      <c r="V39" s="22"/>
      <c r="W39" s="22" t="s">
        <v>35</v>
      </c>
      <c r="X39" s="22">
        <v>1</v>
      </c>
      <c r="Y39" s="22" t="s">
        <v>147</v>
      </c>
      <c r="Z39" s="22" t="s">
        <v>38</v>
      </c>
      <c r="AA39" s="22"/>
      <c r="AB39" s="18">
        <v>6.2821917808219174</v>
      </c>
      <c r="AC39" s="19">
        <v>0</v>
      </c>
      <c r="AD39" s="19">
        <v>0</v>
      </c>
      <c r="AE39" s="19"/>
      <c r="AF39" s="19"/>
      <c r="AG39" s="19"/>
      <c r="AH39" s="19">
        <v>7</v>
      </c>
      <c r="AI39" s="20" t="s">
        <v>147</v>
      </c>
      <c r="AJ39" s="21">
        <v>120.75885731188058</v>
      </c>
    </row>
    <row r="40" spans="1:36" x14ac:dyDescent="0.25">
      <c r="A40" s="14">
        <v>1</v>
      </c>
      <c r="B40" s="14" t="s">
        <v>217</v>
      </c>
      <c r="C40" s="14" t="s">
        <v>216</v>
      </c>
      <c r="D40" s="14" t="s">
        <v>218</v>
      </c>
      <c r="E40" s="14" t="s">
        <v>164</v>
      </c>
      <c r="F40" s="14" t="s">
        <v>7</v>
      </c>
      <c r="G40" s="14" t="s">
        <v>33</v>
      </c>
      <c r="H40" s="15">
        <v>45008</v>
      </c>
      <c r="I40" s="15">
        <v>46835</v>
      </c>
      <c r="J40" s="16">
        <v>2.5000000000000001E-3</v>
      </c>
      <c r="K40" s="17"/>
      <c r="L40" s="14">
        <v>1</v>
      </c>
      <c r="M40" s="14" t="s">
        <v>164</v>
      </c>
      <c r="N40" s="14" t="s">
        <v>159</v>
      </c>
      <c r="O40" s="14" t="s">
        <v>160</v>
      </c>
      <c r="P40" s="14" t="s">
        <v>191</v>
      </c>
      <c r="Q40" s="14">
        <v>1</v>
      </c>
      <c r="R40" s="14" t="s">
        <v>219</v>
      </c>
      <c r="S40" s="14">
        <v>0</v>
      </c>
      <c r="T40" s="14"/>
      <c r="U40" s="14">
        <v>0</v>
      </c>
      <c r="V40" s="14"/>
      <c r="W40" s="14" t="s">
        <v>35</v>
      </c>
      <c r="X40" s="14">
        <v>1</v>
      </c>
      <c r="Y40" s="14" t="s">
        <v>145</v>
      </c>
      <c r="Z40" s="14" t="s">
        <v>38</v>
      </c>
      <c r="AA40" s="14"/>
      <c r="AB40" s="18">
        <v>4.4438356164383563</v>
      </c>
      <c r="AC40" s="19">
        <v>0</v>
      </c>
      <c r="AD40" s="19">
        <v>0</v>
      </c>
      <c r="AE40" s="19"/>
      <c r="AF40" s="19"/>
      <c r="AG40" s="19"/>
      <c r="AH40" s="19">
        <v>9</v>
      </c>
      <c r="AI40" s="20" t="s">
        <v>145</v>
      </c>
      <c r="AJ40" s="21">
        <v>151.16212453725339</v>
      </c>
    </row>
    <row r="41" spans="1:36" x14ac:dyDescent="0.25">
      <c r="A41" s="22">
        <v>1</v>
      </c>
      <c r="B41" s="22" t="s">
        <v>220</v>
      </c>
      <c r="C41" s="22" t="s">
        <v>216</v>
      </c>
      <c r="D41" s="22" t="s">
        <v>221</v>
      </c>
      <c r="E41" s="22" t="s">
        <v>164</v>
      </c>
      <c r="F41" s="22" t="s">
        <v>7</v>
      </c>
      <c r="G41" s="22" t="s">
        <v>33</v>
      </c>
      <c r="H41" s="23">
        <v>45008</v>
      </c>
      <c r="I41" s="23">
        <v>48661</v>
      </c>
      <c r="J41" s="24">
        <v>2.5000000000000001E-3</v>
      </c>
      <c r="K41" s="25"/>
      <c r="L41" s="22">
        <v>1</v>
      </c>
      <c r="M41" s="22" t="s">
        <v>164</v>
      </c>
      <c r="N41" s="22" t="s">
        <v>159</v>
      </c>
      <c r="O41" s="22" t="s">
        <v>160</v>
      </c>
      <c r="P41" s="22" t="s">
        <v>191</v>
      </c>
      <c r="Q41" s="22">
        <v>1</v>
      </c>
      <c r="R41" s="22" t="s">
        <v>219</v>
      </c>
      <c r="S41" s="22">
        <v>0</v>
      </c>
      <c r="T41" s="22"/>
      <c r="U41" s="22">
        <v>0</v>
      </c>
      <c r="V41" s="22"/>
      <c r="W41" s="22" t="s">
        <v>35</v>
      </c>
      <c r="X41" s="22">
        <v>1</v>
      </c>
      <c r="Y41" s="22" t="s">
        <v>145</v>
      </c>
      <c r="Z41" s="22" t="s">
        <v>38</v>
      </c>
      <c r="AA41" s="22"/>
      <c r="AB41" s="18">
        <v>9.4465753424657528</v>
      </c>
      <c r="AC41" s="19">
        <v>0</v>
      </c>
      <c r="AD41" s="19">
        <v>0</v>
      </c>
      <c r="AE41" s="19"/>
      <c r="AF41" s="19"/>
      <c r="AG41" s="19"/>
      <c r="AH41" s="19">
        <v>9</v>
      </c>
      <c r="AI41" s="20" t="s">
        <v>145</v>
      </c>
      <c r="AJ41" s="21">
        <v>185.68409791151601</v>
      </c>
    </row>
  </sheetData>
  <conditionalFormatting sqref="AD2:AD41">
    <cfRule type="cellIs" dxfId="2" priority="1" operator="notEqual">
      <formula>0</formula>
    </cfRule>
  </conditionalFormatting>
  <pageMargins left="0.7" right="0.7" top="0.78740157499999996" bottom="0.78740157499999996" header="0.3" footer="0.3"/>
  <customProperties>
    <customPr name="_pios_id" r:id="rId1"/>
  </customProperties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42C25-30F8-4BCE-9383-0742032330E9}">
  <dimension ref="A1:AN73"/>
  <sheetViews>
    <sheetView topLeftCell="X1" zoomScaleNormal="100" workbookViewId="0">
      <selection activeCell="AJ16" sqref="AJ16"/>
    </sheetView>
  </sheetViews>
  <sheetFormatPr baseColWidth="10" defaultRowHeight="12.75" outlineLevelCol="1" x14ac:dyDescent="0.2"/>
  <cols>
    <col min="1" max="1" width="11.28515625" style="31" bestFit="1" customWidth="1"/>
    <col min="2" max="2" width="14" style="31" bestFit="1" customWidth="1"/>
    <col min="3" max="3" width="35.85546875" style="31" bestFit="1" customWidth="1"/>
    <col min="4" max="4" width="14.85546875" style="31" bestFit="1" customWidth="1"/>
    <col min="5" max="5" width="16.85546875" style="31" bestFit="1" customWidth="1"/>
    <col min="6" max="6" width="19.5703125" style="31" bestFit="1" customWidth="1" outlineLevel="1"/>
    <col min="7" max="7" width="12.85546875" style="31" bestFit="1" customWidth="1" outlineLevel="1"/>
    <col min="8" max="8" width="14.28515625" style="40" bestFit="1" customWidth="1" outlineLevel="1"/>
    <col min="9" max="9" width="12.85546875" style="40" bestFit="1" customWidth="1" outlineLevel="1"/>
    <col min="10" max="10" width="11.28515625" style="32" bestFit="1" customWidth="1" outlineLevel="1"/>
    <col min="11" max="11" width="15" style="31" bestFit="1" customWidth="1" outlineLevel="1"/>
    <col min="12" max="12" width="9.42578125" style="31" bestFit="1" customWidth="1" outlineLevel="1"/>
    <col min="13" max="13" width="10" style="31" bestFit="1" customWidth="1" outlineLevel="1"/>
    <col min="14" max="14" width="12.28515625" style="31" bestFit="1" customWidth="1" outlineLevel="1"/>
    <col min="15" max="15" width="12" style="31" bestFit="1" customWidth="1" outlineLevel="1"/>
    <col min="16" max="16" width="14.42578125" style="31" bestFit="1" customWidth="1" outlineLevel="1"/>
    <col min="17" max="17" width="11.5703125" style="31" bestFit="1" customWidth="1" outlineLevel="1"/>
    <col min="18" max="18" width="9.140625" style="31" bestFit="1" customWidth="1" outlineLevel="1"/>
    <col min="19" max="19" width="9.42578125" style="31" bestFit="1" customWidth="1" outlineLevel="1"/>
    <col min="20" max="20" width="7.7109375" style="31" bestFit="1" customWidth="1" outlineLevel="1"/>
    <col min="21" max="21" width="11.42578125" style="31" bestFit="1" customWidth="1" outlineLevel="1"/>
    <col min="22" max="22" width="15.85546875" style="31" bestFit="1" customWidth="1" outlineLevel="1"/>
    <col min="23" max="23" width="12.28515625" style="31" bestFit="1" customWidth="1" outlineLevel="1"/>
    <col min="24" max="24" width="17.7109375" style="31" bestFit="1" customWidth="1"/>
    <col min="25" max="25" width="10.28515625" style="31" bestFit="1" customWidth="1"/>
    <col min="26" max="26" width="14.28515625" style="31" bestFit="1" customWidth="1"/>
    <col min="27" max="27" width="28.5703125" style="31" bestFit="1" customWidth="1"/>
    <col min="28" max="28" width="7.42578125" style="37" bestFit="1" customWidth="1"/>
    <col min="29" max="29" width="10.5703125" style="39" bestFit="1" customWidth="1"/>
    <col min="30" max="30" width="7.85546875" style="39" bestFit="1" customWidth="1"/>
    <col min="31" max="31" width="17" style="39" bestFit="1" customWidth="1"/>
    <col min="32" max="32" width="8.7109375" style="39" bestFit="1" customWidth="1"/>
    <col min="33" max="33" width="8.7109375" style="21" bestFit="1" customWidth="1"/>
    <col min="34" max="34" width="11" style="39" bestFit="1" customWidth="1"/>
    <col min="35" max="35" width="18.7109375" style="39" bestFit="1" customWidth="1"/>
    <col min="36" max="36" width="15.28515625" style="39" bestFit="1" customWidth="1"/>
    <col min="37" max="37" width="8.5703125" style="31" bestFit="1" customWidth="1"/>
    <col min="38" max="38" width="7" style="31" bestFit="1" customWidth="1"/>
    <col min="39" max="39" width="10.140625" style="31" bestFit="1" customWidth="1"/>
    <col min="40" max="40" width="14.42578125" style="31" bestFit="1" customWidth="1"/>
    <col min="41" max="41" width="11.140625" style="31" bestFit="1" customWidth="1"/>
    <col min="42" max="42" width="16" style="31" bestFit="1" customWidth="1"/>
    <col min="43" max="43" width="9.140625" style="31" bestFit="1" customWidth="1"/>
    <col min="44" max="44" width="12.85546875" style="31" bestFit="1" customWidth="1"/>
    <col min="45" max="16384" width="11.42578125" style="31"/>
  </cols>
  <sheetData>
    <row r="1" spans="1:40" x14ac:dyDescent="0.2">
      <c r="A1" s="31" t="s">
        <v>0</v>
      </c>
      <c r="B1" s="31" t="s">
        <v>2</v>
      </c>
      <c r="C1" s="31" t="s">
        <v>8</v>
      </c>
      <c r="D1" s="31" t="s">
        <v>9</v>
      </c>
      <c r="E1" s="31" t="s">
        <v>10</v>
      </c>
      <c r="F1" s="31" t="s">
        <v>5</v>
      </c>
      <c r="G1" s="31" t="s">
        <v>11</v>
      </c>
      <c r="H1" s="40" t="s">
        <v>12</v>
      </c>
      <c r="I1" s="40" t="s">
        <v>13</v>
      </c>
      <c r="J1" s="32" t="s">
        <v>14</v>
      </c>
      <c r="K1" s="31" t="s">
        <v>15</v>
      </c>
      <c r="L1" s="31" t="s">
        <v>16</v>
      </c>
      <c r="M1" s="31" t="s">
        <v>17</v>
      </c>
      <c r="N1" s="31" t="s">
        <v>155</v>
      </c>
      <c r="O1" s="31" t="s">
        <v>156</v>
      </c>
      <c r="P1" s="31" t="s">
        <v>18</v>
      </c>
      <c r="Q1" s="31" t="s">
        <v>19</v>
      </c>
      <c r="R1" s="31" t="s">
        <v>20</v>
      </c>
      <c r="S1" s="31" t="s">
        <v>21</v>
      </c>
      <c r="T1" s="31" t="s">
        <v>22</v>
      </c>
      <c r="U1" s="31" t="s">
        <v>23</v>
      </c>
      <c r="V1" s="31" t="s">
        <v>24</v>
      </c>
      <c r="W1" s="31" t="s">
        <v>25</v>
      </c>
      <c r="X1" s="31" t="s">
        <v>26</v>
      </c>
      <c r="Y1" s="31" t="s">
        <v>29</v>
      </c>
      <c r="Z1" s="31" t="s">
        <v>27</v>
      </c>
      <c r="AA1" s="31" t="s">
        <v>28</v>
      </c>
      <c r="AB1" s="33" t="s">
        <v>30</v>
      </c>
      <c r="AC1" s="34" t="s">
        <v>222</v>
      </c>
      <c r="AD1" s="34" t="s">
        <v>152</v>
      </c>
      <c r="AE1" s="34" t="s">
        <v>223</v>
      </c>
      <c r="AF1" s="34" t="s">
        <v>224</v>
      </c>
      <c r="AG1" s="34" t="s">
        <v>225</v>
      </c>
      <c r="AH1" s="34" t="s">
        <v>226</v>
      </c>
      <c r="AI1" s="34" t="s">
        <v>227</v>
      </c>
      <c r="AJ1" s="35" t="s">
        <v>31</v>
      </c>
    </row>
    <row r="2" spans="1:40" x14ac:dyDescent="0.2">
      <c r="A2" s="31">
        <v>1</v>
      </c>
      <c r="B2" s="31">
        <v>283140</v>
      </c>
      <c r="C2" s="31" t="s">
        <v>231</v>
      </c>
      <c r="D2" s="31" t="s">
        <v>32</v>
      </c>
      <c r="E2" s="31" t="s">
        <v>36</v>
      </c>
      <c r="F2" s="31" t="s">
        <v>232</v>
      </c>
      <c r="G2" s="31" t="s">
        <v>33</v>
      </c>
      <c r="H2" s="40">
        <v>45191</v>
      </c>
      <c r="I2" s="40">
        <v>45192</v>
      </c>
      <c r="J2" s="32">
        <v>1E-4</v>
      </c>
      <c r="K2" s="36"/>
      <c r="L2" s="31">
        <v>4</v>
      </c>
      <c r="M2" s="31" t="s">
        <v>37</v>
      </c>
      <c r="N2" s="31" t="s">
        <v>159</v>
      </c>
      <c r="O2" s="31" t="s">
        <v>160</v>
      </c>
      <c r="P2" s="31" t="s">
        <v>34</v>
      </c>
      <c r="W2" s="31" t="s">
        <v>35</v>
      </c>
      <c r="X2" s="31">
        <v>1</v>
      </c>
      <c r="Y2" s="31" t="s">
        <v>145</v>
      </c>
      <c r="Z2" s="31" t="s">
        <v>38</v>
      </c>
      <c r="AA2" s="31" t="s">
        <v>233</v>
      </c>
      <c r="AB2" s="37">
        <f ca="1">(ALL_PROD_RISK3[[#This Row],[MATURITY]]-TODAY())/365</f>
        <v>-0.43287671232876712</v>
      </c>
      <c r="AC2" s="38" t="e">
        <f>_xlfn.XLOOKUP(ALL_PROD_RISK3[[#This Row],[Rank]],[1]!RANKtbl[Rank],[1]!RANKtbl[STEPS])</f>
        <v>#REF!</v>
      </c>
      <c r="AD2" s="38">
        <f>IF(ALL_PROD_RISK3[[#This Row],[RATING]]="AAA",-7,)</f>
        <v>0</v>
      </c>
      <c r="AE2" s="38"/>
      <c r="AF2" s="38"/>
      <c r="AG2" s="38"/>
      <c r="AH2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2" s="39" t="e">
        <f>IF(ALL_PROD_RISK3[[#This Row],[C_INDEX]]&lt;1,"AAA",_xlfn.XLOOKUP(ALL_PROD_RISK3[[#This Row],[C_INDEX]],[1]!CS_RATING[INDEX],[1]!CS_RATING[RATING]))</f>
        <v>#REF!</v>
      </c>
      <c r="AJ2" s="21" t="e" cm="1">
        <f t="array" aca="1" ref="AJ2" ca="1">_xll.qlInterpolation2DInterpolate([1]CS_Interplation_act!$E$15,ALL_PROD_RISK3[[#This Row],[TtM]],ALL_PROD_RISK3[[#This Row],[C_INDEX]],TRUE,[1]CS_Interplation_act!E15)</f>
        <v>#VALUE!</v>
      </c>
      <c r="AM2" s="40">
        <v>45192</v>
      </c>
      <c r="AN2" s="40">
        <v>45283</v>
      </c>
    </row>
    <row r="3" spans="1:40" x14ac:dyDescent="0.2">
      <c r="A3" s="31">
        <v>1</v>
      </c>
      <c r="B3" s="31">
        <v>283300</v>
      </c>
      <c r="C3" s="31" t="s">
        <v>234</v>
      </c>
      <c r="D3" s="31" t="s">
        <v>32</v>
      </c>
      <c r="E3" s="31" t="s">
        <v>36</v>
      </c>
      <c r="F3" s="31" t="s">
        <v>232</v>
      </c>
      <c r="G3" s="31" t="s">
        <v>33</v>
      </c>
      <c r="H3" s="40">
        <v>45191</v>
      </c>
      <c r="I3" s="40">
        <v>45192</v>
      </c>
      <c r="J3" s="32">
        <v>1E-4</v>
      </c>
      <c r="K3" s="36"/>
      <c r="L3" s="31">
        <v>4</v>
      </c>
      <c r="M3" s="31" t="s">
        <v>37</v>
      </c>
      <c r="N3" s="31" t="s">
        <v>159</v>
      </c>
      <c r="O3" s="31" t="s">
        <v>160</v>
      </c>
      <c r="P3" s="31" t="s">
        <v>34</v>
      </c>
      <c r="W3" s="31" t="s">
        <v>35</v>
      </c>
      <c r="X3" s="31">
        <v>1</v>
      </c>
      <c r="Y3" s="31" t="s">
        <v>145</v>
      </c>
      <c r="Z3" s="31" t="s">
        <v>38</v>
      </c>
      <c r="AB3" s="37">
        <f ca="1">(ALL_PROD_RISK3[[#This Row],[MATURITY]]-TODAY())/365</f>
        <v>-0.43287671232876712</v>
      </c>
      <c r="AC3" s="38" t="e">
        <f>_xlfn.XLOOKUP(ALL_PROD_RISK3[[#This Row],[Rank]],[1]!RANKtbl[Rank],[1]!RANKtbl[STEPS])</f>
        <v>#REF!</v>
      </c>
      <c r="AD3" s="38">
        <f>IF(ALL_PROD_RISK3[[#This Row],[RATING]]="AAA",-7,)</f>
        <v>0</v>
      </c>
      <c r="AE3" s="38"/>
      <c r="AF3" s="38"/>
      <c r="AG3" s="38"/>
      <c r="AH3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3" s="39" t="e">
        <f>IF(ALL_PROD_RISK3[[#This Row],[C_INDEX]]&lt;1,"AAA",_xlfn.XLOOKUP(ALL_PROD_RISK3[[#This Row],[C_INDEX]],[1]!CS_RATING[INDEX],[1]!CS_RATING[RATING]))</f>
        <v>#REF!</v>
      </c>
      <c r="AJ3" s="21" t="e" cm="1">
        <f t="array" aca="1" ref="AJ3" ca="1">_xll.qlInterpolation2DInterpolate([1]CS_Interplation_act!$E$15,ALL_PROD_RISK3[[#This Row],[TtM]],ALL_PROD_RISK3[[#This Row],[C_INDEX]],TRUE,[1]CS_Interplation_act!E16)</f>
        <v>#VALUE!</v>
      </c>
    </row>
    <row r="4" spans="1:40" x14ac:dyDescent="0.2">
      <c r="A4" s="31">
        <v>1</v>
      </c>
      <c r="B4" s="31">
        <v>283310</v>
      </c>
      <c r="C4" s="31" t="s">
        <v>235</v>
      </c>
      <c r="D4" s="31" t="s">
        <v>32</v>
      </c>
      <c r="E4" s="31" t="s">
        <v>36</v>
      </c>
      <c r="F4" s="31" t="s">
        <v>232</v>
      </c>
      <c r="G4" s="31" t="s">
        <v>33</v>
      </c>
      <c r="H4" s="40">
        <v>45191</v>
      </c>
      <c r="I4" s="40">
        <v>45192</v>
      </c>
      <c r="J4" s="32">
        <v>9.9999999999999995E-8</v>
      </c>
      <c r="K4" s="36"/>
      <c r="L4" s="31">
        <v>4</v>
      </c>
      <c r="M4" s="31" t="s">
        <v>37</v>
      </c>
      <c r="N4" s="31" t="s">
        <v>159</v>
      </c>
      <c r="O4" s="31" t="s">
        <v>160</v>
      </c>
      <c r="P4" s="31" t="s">
        <v>34</v>
      </c>
      <c r="W4" s="31" t="s">
        <v>35</v>
      </c>
      <c r="X4" s="31">
        <v>1</v>
      </c>
      <c r="Y4" s="31" t="s">
        <v>145</v>
      </c>
      <c r="Z4" s="31" t="s">
        <v>38</v>
      </c>
      <c r="AB4" s="37">
        <f ca="1">(ALL_PROD_RISK3[[#This Row],[MATURITY]]-TODAY())/365</f>
        <v>-0.43287671232876712</v>
      </c>
      <c r="AC4" s="38" t="e">
        <f>_xlfn.XLOOKUP(ALL_PROD_RISK3[[#This Row],[Rank]],[1]!RANKtbl[Rank],[1]!RANKtbl[STEPS])</f>
        <v>#REF!</v>
      </c>
      <c r="AD4" s="38">
        <f>IF(ALL_PROD_RISK3[[#This Row],[RATING]]="AAA",-7,)</f>
        <v>0</v>
      </c>
      <c r="AE4" s="38"/>
      <c r="AF4" s="38"/>
      <c r="AG4" s="38"/>
      <c r="AH4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4" s="39" t="e">
        <f>IF(ALL_PROD_RISK3[[#This Row],[C_INDEX]]&lt;1,"AAA",_xlfn.XLOOKUP(ALL_PROD_RISK3[[#This Row],[C_INDEX]],[1]!CS_RATING[INDEX],[1]!CS_RATING[RATING]))</f>
        <v>#REF!</v>
      </c>
      <c r="AJ4" s="21" t="e" cm="1">
        <f t="array" aca="1" ref="AJ4" ca="1">_xll.qlInterpolation2DInterpolate([1]CS_Interplation_act!$E$15,ALL_PROD_RISK3[[#This Row],[TtM]],ALL_PROD_RISK3[[#This Row],[C_INDEX]],TRUE,[1]CS_Interplation_act!E17)</f>
        <v>#VALUE!</v>
      </c>
    </row>
    <row r="5" spans="1:40" x14ac:dyDescent="0.2">
      <c r="A5" s="31">
        <v>1</v>
      </c>
      <c r="B5" s="31">
        <v>283239</v>
      </c>
      <c r="C5" s="31" t="s">
        <v>236</v>
      </c>
      <c r="D5" s="31" t="s">
        <v>32</v>
      </c>
      <c r="E5" s="31" t="s">
        <v>36</v>
      </c>
      <c r="F5" s="31" t="s">
        <v>232</v>
      </c>
      <c r="G5" s="31" t="s">
        <v>33</v>
      </c>
      <c r="H5" s="40">
        <v>45191</v>
      </c>
      <c r="I5" s="40">
        <v>45192</v>
      </c>
      <c r="J5" s="32">
        <v>0</v>
      </c>
      <c r="K5" s="36"/>
      <c r="L5" s="31">
        <v>4</v>
      </c>
      <c r="M5" s="31" t="s">
        <v>37</v>
      </c>
      <c r="N5" s="31" t="s">
        <v>159</v>
      </c>
      <c r="O5" s="31" t="s">
        <v>160</v>
      </c>
      <c r="P5" s="31" t="s">
        <v>34</v>
      </c>
      <c r="W5" s="31" t="s">
        <v>35</v>
      </c>
      <c r="X5" s="31">
        <v>1</v>
      </c>
      <c r="Y5" s="31" t="s">
        <v>145</v>
      </c>
      <c r="Z5" s="31" t="s">
        <v>38</v>
      </c>
      <c r="AB5" s="37">
        <f ca="1">(ALL_PROD_RISK3[[#This Row],[MATURITY]]-TODAY())/365</f>
        <v>-0.43287671232876712</v>
      </c>
      <c r="AC5" s="38" t="e">
        <f>_xlfn.XLOOKUP(ALL_PROD_RISK3[[#This Row],[Rank]],[1]!RANKtbl[Rank],[1]!RANKtbl[STEPS])</f>
        <v>#REF!</v>
      </c>
      <c r="AD5" s="38">
        <f>IF(ALL_PROD_RISK3[[#This Row],[RATING]]="AAA",-7,)</f>
        <v>0</v>
      </c>
      <c r="AE5" s="38"/>
      <c r="AF5" s="38"/>
      <c r="AG5" s="38"/>
      <c r="AH5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5" s="39" t="e">
        <f>IF(ALL_PROD_RISK3[[#This Row],[C_INDEX]]&lt;1,"AAA",_xlfn.XLOOKUP(ALL_PROD_RISK3[[#This Row],[C_INDEX]],[1]!CS_RATING[INDEX],[1]!CS_RATING[RATING]))</f>
        <v>#REF!</v>
      </c>
      <c r="AJ5" s="21" t="e" cm="1">
        <f t="array" aca="1" ref="AJ5" ca="1">_xll.qlInterpolation2DInterpolate([1]CS_Interplation_act!$E$15,ALL_PROD_RISK3[[#This Row],[TtM]],ALL_PROD_RISK3[[#This Row],[C_INDEX]],TRUE,[1]CS_Interplation_act!E18)</f>
        <v>#VALUE!</v>
      </c>
    </row>
    <row r="6" spans="1:40" x14ac:dyDescent="0.2">
      <c r="A6" s="31">
        <v>1</v>
      </c>
      <c r="B6" s="31">
        <v>283250</v>
      </c>
      <c r="C6" s="31" t="s">
        <v>237</v>
      </c>
      <c r="D6" s="31" t="s">
        <v>32</v>
      </c>
      <c r="E6" s="31" t="s">
        <v>39</v>
      </c>
      <c r="F6" s="31" t="s">
        <v>232</v>
      </c>
      <c r="G6" s="31" t="s">
        <v>33</v>
      </c>
      <c r="H6" s="40">
        <v>45191</v>
      </c>
      <c r="I6" s="40">
        <v>45192</v>
      </c>
      <c r="J6" s="32">
        <v>2.0000000000000001E-4</v>
      </c>
      <c r="K6" s="36"/>
      <c r="L6" s="31">
        <v>4</v>
      </c>
      <c r="M6" s="31" t="s">
        <v>40</v>
      </c>
      <c r="N6" s="31" t="s">
        <v>159</v>
      </c>
      <c r="O6" s="31" t="s">
        <v>160</v>
      </c>
      <c r="P6" s="31" t="s">
        <v>34</v>
      </c>
      <c r="W6" s="31" t="s">
        <v>35</v>
      </c>
      <c r="X6" s="31">
        <v>1</v>
      </c>
      <c r="Y6" s="31" t="s">
        <v>146</v>
      </c>
      <c r="Z6" s="31" t="s">
        <v>38</v>
      </c>
      <c r="AB6" s="37">
        <f ca="1">(ALL_PROD_RISK3[[#This Row],[MATURITY]]-TODAY())/365</f>
        <v>-0.43287671232876712</v>
      </c>
      <c r="AC6" s="38" t="e">
        <f>_xlfn.XLOOKUP(ALL_PROD_RISK3[[#This Row],[Rank]],[1]!RANKtbl[Rank],[1]!RANKtbl[STEPS])</f>
        <v>#REF!</v>
      </c>
      <c r="AD6" s="38">
        <f>IF(ALL_PROD_RISK3[[#This Row],[RATING]]="AAA",-7,)</f>
        <v>0</v>
      </c>
      <c r="AE6" s="38"/>
      <c r="AF6" s="38"/>
      <c r="AG6" s="38"/>
      <c r="AH6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6" s="39" t="e">
        <f>IF(ALL_PROD_RISK3[[#This Row],[C_INDEX]]&lt;1,"AAA",_xlfn.XLOOKUP(ALL_PROD_RISK3[[#This Row],[C_INDEX]],[1]!CS_RATING[INDEX],[1]!CS_RATING[RATING]))</f>
        <v>#REF!</v>
      </c>
      <c r="AJ6" s="21" t="e" cm="1">
        <f t="array" aca="1" ref="AJ6" ca="1">_xll.qlInterpolation2DInterpolate([1]CS_Interplation_act!$E$15,ALL_PROD_RISK3[[#This Row],[TtM]],ALL_PROD_RISK3[[#This Row],[C_INDEX]],TRUE,[1]CS_Interplation_act!E19)</f>
        <v>#VALUE!</v>
      </c>
    </row>
    <row r="7" spans="1:40" x14ac:dyDescent="0.2">
      <c r="A7" s="31">
        <v>1</v>
      </c>
      <c r="B7" s="31" t="s">
        <v>188</v>
      </c>
      <c r="C7" s="31" t="s">
        <v>189</v>
      </c>
      <c r="D7" s="31" t="s">
        <v>190</v>
      </c>
      <c r="E7" s="31" t="s">
        <v>39</v>
      </c>
      <c r="F7" s="31" t="s">
        <v>238</v>
      </c>
      <c r="G7" s="31" t="s">
        <v>33</v>
      </c>
      <c r="H7" s="40">
        <v>43082</v>
      </c>
      <c r="I7" s="40">
        <v>45639</v>
      </c>
      <c r="J7" s="32">
        <v>0.02</v>
      </c>
      <c r="K7" s="36"/>
      <c r="L7" s="31">
        <v>4</v>
      </c>
      <c r="M7" s="31" t="s">
        <v>40</v>
      </c>
      <c r="N7" s="31" t="s">
        <v>159</v>
      </c>
      <c r="O7" s="31" t="s">
        <v>160</v>
      </c>
      <c r="P7" s="31" t="s">
        <v>191</v>
      </c>
      <c r="Q7" s="31">
        <v>1</v>
      </c>
      <c r="R7" s="31" t="s">
        <v>192</v>
      </c>
      <c r="S7" s="31">
        <v>5.0000000000000001E-3</v>
      </c>
      <c r="T7" s="31">
        <v>0.02</v>
      </c>
      <c r="W7" s="31" t="s">
        <v>35</v>
      </c>
      <c r="X7" s="31">
        <v>1</v>
      </c>
      <c r="Y7" s="31" t="s">
        <v>146</v>
      </c>
      <c r="Z7" s="31" t="s">
        <v>38</v>
      </c>
      <c r="AB7" s="37">
        <f ca="1">(ALL_PROD_RISK3[[#This Row],[MATURITY]]-TODAY())/365</f>
        <v>0.79178082191780819</v>
      </c>
      <c r="AC7" s="38" t="e">
        <f>_xlfn.XLOOKUP(ALL_PROD_RISK3[[#This Row],[Rank]],[1]!RANKtbl[Rank],[1]!RANKtbl[STEPS])</f>
        <v>#REF!</v>
      </c>
      <c r="AD7" s="38">
        <f>IF(ALL_PROD_RISK3[[#This Row],[RATING]]="AAA",-7,)</f>
        <v>0</v>
      </c>
      <c r="AE7" s="38"/>
      <c r="AF7" s="38"/>
      <c r="AG7" s="38"/>
      <c r="AH7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7" s="39" t="e">
        <f>IF(ALL_PROD_RISK3[[#This Row],[C_INDEX]]&lt;1,"AAA",_xlfn.XLOOKUP(ALL_PROD_RISK3[[#This Row],[C_INDEX]],[1]!CS_RATING[INDEX],[1]!CS_RATING[RATING]))</f>
        <v>#REF!</v>
      </c>
      <c r="AJ7" s="21" t="e" cm="1">
        <f t="array" aca="1" ref="AJ7" ca="1">_xll.qlInterpolation2DInterpolate([1]CS_Interplation_act!$E$15,ALL_PROD_RISK3[[#This Row],[TtM]],ALL_PROD_RISK3[[#This Row],[C_INDEX]],TRUE,[1]CS_Interplation_act!E20)</f>
        <v>#VALUE!</v>
      </c>
    </row>
    <row r="8" spans="1:40" x14ac:dyDescent="0.2">
      <c r="A8" s="31">
        <v>1</v>
      </c>
      <c r="B8" s="31" t="s">
        <v>239</v>
      </c>
      <c r="C8" s="31" t="s">
        <v>240</v>
      </c>
      <c r="D8" s="31" t="s">
        <v>241</v>
      </c>
      <c r="E8" s="31" t="s">
        <v>39</v>
      </c>
      <c r="F8" s="31" t="s">
        <v>238</v>
      </c>
      <c r="G8" s="31" t="s">
        <v>33</v>
      </c>
      <c r="H8" s="40">
        <v>42660</v>
      </c>
      <c r="I8" s="40">
        <v>45216</v>
      </c>
      <c r="J8" s="32">
        <v>1.4999999999999999E-2</v>
      </c>
      <c r="K8" s="36"/>
      <c r="L8" s="31">
        <v>1</v>
      </c>
      <c r="M8" s="31" t="s">
        <v>40</v>
      </c>
      <c r="N8" s="31" t="s">
        <v>159</v>
      </c>
      <c r="O8" s="31" t="s">
        <v>160</v>
      </c>
      <c r="P8" s="31" t="s">
        <v>34</v>
      </c>
      <c r="W8" s="31" t="s">
        <v>212</v>
      </c>
      <c r="X8" s="31">
        <v>1</v>
      </c>
      <c r="Y8" s="31" t="s">
        <v>146</v>
      </c>
      <c r="Z8" s="31" t="s">
        <v>38</v>
      </c>
      <c r="AB8" s="37">
        <f ca="1">(ALL_PROD_RISK3[[#This Row],[MATURITY]]-TODAY())/365</f>
        <v>-0.36712328767123287</v>
      </c>
      <c r="AC8" s="38" t="e">
        <f>_xlfn.XLOOKUP(ALL_PROD_RISK3[[#This Row],[Rank]],[1]!RANKtbl[Rank],[1]!RANKtbl[STEPS])</f>
        <v>#REF!</v>
      </c>
      <c r="AD8" s="38">
        <f>IF(ALL_PROD_RISK3[[#This Row],[RATING]]="AAA",-7,)</f>
        <v>0</v>
      </c>
      <c r="AE8" s="38"/>
      <c r="AF8" s="38"/>
      <c r="AG8" s="38"/>
      <c r="AH8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8" s="39" t="e">
        <f>IF(ALL_PROD_RISK3[[#This Row],[C_INDEX]]&lt;1,"AAA",_xlfn.XLOOKUP(ALL_PROD_RISK3[[#This Row],[C_INDEX]],[1]!CS_RATING[INDEX],[1]!CS_RATING[RATING]))</f>
        <v>#REF!</v>
      </c>
      <c r="AJ8" s="21" t="e" cm="1">
        <f t="array" aca="1" ref="AJ8" ca="1">_xll.qlInterpolation2DInterpolate([1]CS_Interplation_act!$E$15,ALL_PROD_RISK3[[#This Row],[TtM]],ALL_PROD_RISK3[[#This Row],[C_INDEX]],TRUE,[1]CS_Interplation_act!E21)</f>
        <v>#VALUE!</v>
      </c>
    </row>
    <row r="9" spans="1:40" x14ac:dyDescent="0.2">
      <c r="A9" s="31">
        <v>1</v>
      </c>
      <c r="B9" s="31" t="s">
        <v>193</v>
      </c>
      <c r="C9" s="31" t="s">
        <v>194</v>
      </c>
      <c r="D9" s="31" t="s">
        <v>195</v>
      </c>
      <c r="E9" s="31" t="s">
        <v>39</v>
      </c>
      <c r="F9" s="31" t="s">
        <v>238</v>
      </c>
      <c r="G9" s="31" t="s">
        <v>33</v>
      </c>
      <c r="H9" s="40">
        <v>43349</v>
      </c>
      <c r="I9" s="40">
        <v>45910</v>
      </c>
      <c r="J9" s="32">
        <v>0.03</v>
      </c>
      <c r="K9" s="36"/>
      <c r="L9" s="31">
        <v>4</v>
      </c>
      <c r="M9" s="31" t="s">
        <v>40</v>
      </c>
      <c r="N9" s="31" t="s">
        <v>159</v>
      </c>
      <c r="O9" s="31" t="s">
        <v>160</v>
      </c>
      <c r="P9" s="31" t="s">
        <v>191</v>
      </c>
      <c r="Q9" s="31">
        <v>1</v>
      </c>
      <c r="R9" s="31" t="s">
        <v>192</v>
      </c>
      <c r="S9" s="31">
        <v>7.4999999999999997E-3</v>
      </c>
      <c r="T9" s="31">
        <v>0.03</v>
      </c>
      <c r="W9" s="31" t="s">
        <v>35</v>
      </c>
      <c r="X9" s="31">
        <v>1</v>
      </c>
      <c r="Y9" s="31" t="s">
        <v>146</v>
      </c>
      <c r="Z9" s="31" t="s">
        <v>38</v>
      </c>
      <c r="AB9" s="37">
        <f ca="1">(ALL_PROD_RISK3[[#This Row],[MATURITY]]-TODAY())/365</f>
        <v>1.5342465753424657</v>
      </c>
      <c r="AC9" s="38" t="e">
        <f>_xlfn.XLOOKUP(ALL_PROD_RISK3[[#This Row],[Rank]],[1]!RANKtbl[Rank],[1]!RANKtbl[STEPS])</f>
        <v>#REF!</v>
      </c>
      <c r="AD9" s="38">
        <f>IF(ALL_PROD_RISK3[[#This Row],[RATING]]="AAA",-7,)</f>
        <v>0</v>
      </c>
      <c r="AE9" s="38"/>
      <c r="AF9" s="38"/>
      <c r="AG9" s="38"/>
      <c r="AH9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9" s="39" t="e">
        <f>IF(ALL_PROD_RISK3[[#This Row],[C_INDEX]]&lt;1,"AAA",_xlfn.XLOOKUP(ALL_PROD_RISK3[[#This Row],[C_INDEX]],[1]!CS_RATING[INDEX],[1]!CS_RATING[RATING]))</f>
        <v>#REF!</v>
      </c>
      <c r="AJ9" s="21" t="e" cm="1">
        <f t="array" aca="1" ref="AJ9" ca="1">_xll.qlInterpolation2DInterpolate([1]CS_Interplation_act!$E$15,ALL_PROD_RISK3[[#This Row],[TtM]],ALL_PROD_RISK3[[#This Row],[C_INDEX]],TRUE,[1]CS_Interplation_act!E22)</f>
        <v>#VALUE!</v>
      </c>
    </row>
    <row r="10" spans="1:40" x14ac:dyDescent="0.2">
      <c r="A10" s="31">
        <v>1</v>
      </c>
      <c r="B10" s="31" t="s">
        <v>242</v>
      </c>
      <c r="C10" s="31" t="s">
        <v>194</v>
      </c>
      <c r="D10" s="31" t="s">
        <v>195</v>
      </c>
      <c r="E10" s="31" t="s">
        <v>39</v>
      </c>
      <c r="F10" s="31" t="s">
        <v>238</v>
      </c>
      <c r="G10" s="31" t="s">
        <v>33</v>
      </c>
      <c r="H10" s="40">
        <v>43433</v>
      </c>
      <c r="I10" s="40">
        <v>46003</v>
      </c>
      <c r="J10" s="32">
        <v>0.03</v>
      </c>
      <c r="K10" s="36"/>
      <c r="L10" s="31">
        <v>4</v>
      </c>
      <c r="M10" s="31" t="s">
        <v>40</v>
      </c>
      <c r="N10" s="31" t="s">
        <v>159</v>
      </c>
      <c r="O10" s="31" t="s">
        <v>160</v>
      </c>
      <c r="P10" s="31" t="s">
        <v>34</v>
      </c>
      <c r="W10" s="31" t="s">
        <v>35</v>
      </c>
      <c r="X10" s="31">
        <v>1</v>
      </c>
      <c r="Y10" s="31" t="s">
        <v>146</v>
      </c>
      <c r="Z10" s="31" t="s">
        <v>38</v>
      </c>
      <c r="AB10" s="37">
        <f ca="1">(ALL_PROD_RISK3[[#This Row],[MATURITY]]-TODAY())/365</f>
        <v>1.789041095890411</v>
      </c>
      <c r="AC10" s="38" t="e">
        <f>_xlfn.XLOOKUP(ALL_PROD_RISK3[[#This Row],[Rank]],[1]!RANKtbl[Rank],[1]!RANKtbl[STEPS])</f>
        <v>#REF!</v>
      </c>
      <c r="AD10" s="38">
        <f>IF(ALL_PROD_RISK3[[#This Row],[RATING]]="AAA",-7,)</f>
        <v>0</v>
      </c>
      <c r="AE10" s="38"/>
      <c r="AF10" s="38"/>
      <c r="AG10" s="38"/>
      <c r="AH10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10" s="39" t="e">
        <f>IF(ALL_PROD_RISK3[[#This Row],[C_INDEX]]&lt;1,"AAA",_xlfn.XLOOKUP(ALL_PROD_RISK3[[#This Row],[C_INDEX]],[1]!CS_RATING[INDEX],[1]!CS_RATING[RATING]))</f>
        <v>#REF!</v>
      </c>
      <c r="AJ10" s="21" t="e" cm="1">
        <f t="array" aca="1" ref="AJ10" ca="1">_xll.qlInterpolation2DInterpolate([1]CS_Interplation_act!$E$15,ALL_PROD_RISK3[[#This Row],[TtM]],ALL_PROD_RISK3[[#This Row],[C_INDEX]],TRUE,[1]CS_Interplation_act!E23)</f>
        <v>#VALUE!</v>
      </c>
    </row>
    <row r="11" spans="1:40" x14ac:dyDescent="0.2">
      <c r="A11" s="31">
        <v>1</v>
      </c>
      <c r="B11" s="31">
        <v>283290</v>
      </c>
      <c r="C11" s="31" t="s">
        <v>243</v>
      </c>
      <c r="D11" s="31" t="s">
        <v>32</v>
      </c>
      <c r="E11" s="31" t="s">
        <v>41</v>
      </c>
      <c r="F11" s="31" t="s">
        <v>232</v>
      </c>
      <c r="G11" s="31" t="s">
        <v>33</v>
      </c>
      <c r="H11" s="40">
        <v>45191</v>
      </c>
      <c r="I11" s="40">
        <v>45192</v>
      </c>
      <c r="J11" s="32">
        <v>1.4999999999999999E-2</v>
      </c>
      <c r="K11" s="36"/>
      <c r="L11" s="31">
        <v>1</v>
      </c>
      <c r="M11" s="31" t="s">
        <v>41</v>
      </c>
      <c r="N11" s="31" t="s">
        <v>159</v>
      </c>
      <c r="O11" s="31" t="s">
        <v>160</v>
      </c>
      <c r="P11" s="31" t="s">
        <v>34</v>
      </c>
      <c r="W11" s="31" t="s">
        <v>35</v>
      </c>
      <c r="X11" s="31">
        <v>1</v>
      </c>
      <c r="Y11" s="31" t="s">
        <v>146</v>
      </c>
      <c r="Z11" s="31" t="s">
        <v>38</v>
      </c>
      <c r="AB11" s="37">
        <f ca="1">(ALL_PROD_RISK3[[#This Row],[MATURITY]]-TODAY())/365</f>
        <v>-0.43287671232876712</v>
      </c>
      <c r="AC11" s="38" t="e">
        <f>_xlfn.XLOOKUP(ALL_PROD_RISK3[[#This Row],[Rank]],[1]!RANKtbl[Rank],[1]!RANKtbl[STEPS])</f>
        <v>#REF!</v>
      </c>
      <c r="AD11" s="38">
        <f>IF(ALL_PROD_RISK3[[#This Row],[RATING]]="AAA",-7,)</f>
        <v>0</v>
      </c>
      <c r="AE11" s="38"/>
      <c r="AF11" s="38"/>
      <c r="AG11" s="38"/>
      <c r="AH11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11" s="39" t="e">
        <f>IF(ALL_PROD_RISK3[[#This Row],[C_INDEX]]&lt;1,"AAA",_xlfn.XLOOKUP(ALL_PROD_RISK3[[#This Row],[C_INDEX]],[1]!CS_RATING[INDEX],[1]!CS_RATING[RATING]))</f>
        <v>#REF!</v>
      </c>
      <c r="AJ11" s="21" t="e" cm="1">
        <f t="array" aca="1" ref="AJ11" ca="1">_xll.qlInterpolation2DInterpolate([1]CS_Interplation_act!$E$15,ALL_PROD_RISK3[[#This Row],[TtM]],ALL_PROD_RISK3[[#This Row],[C_INDEX]],TRUE,[1]CS_Interplation_act!E24)</f>
        <v>#VALUE!</v>
      </c>
    </row>
    <row r="12" spans="1:40" x14ac:dyDescent="0.2">
      <c r="A12" s="31">
        <v>1</v>
      </c>
      <c r="B12" s="31">
        <v>283110</v>
      </c>
      <c r="C12" s="31" t="s">
        <v>244</v>
      </c>
      <c r="D12" s="31" t="s">
        <v>32</v>
      </c>
      <c r="E12" s="31" t="s">
        <v>42</v>
      </c>
      <c r="F12" s="31" t="s">
        <v>232</v>
      </c>
      <c r="G12" s="31" t="s">
        <v>33</v>
      </c>
      <c r="H12" s="40">
        <v>45191</v>
      </c>
      <c r="I12" s="40">
        <v>45192</v>
      </c>
      <c r="J12" s="32">
        <v>7.4999999999999997E-3</v>
      </c>
      <c r="K12" s="36"/>
      <c r="L12" s="31">
        <v>4</v>
      </c>
      <c r="M12" s="31" t="s">
        <v>43</v>
      </c>
      <c r="N12" s="31" t="s">
        <v>159</v>
      </c>
      <c r="O12" s="31" t="s">
        <v>160</v>
      </c>
      <c r="P12" s="31" t="s">
        <v>34</v>
      </c>
      <c r="W12" s="31" t="s">
        <v>35</v>
      </c>
      <c r="X12" s="31">
        <v>1</v>
      </c>
      <c r="Y12" s="31" t="s">
        <v>150</v>
      </c>
      <c r="Z12" s="31" t="s">
        <v>38</v>
      </c>
      <c r="AB12" s="37">
        <f ca="1">(ALL_PROD_RISK3[[#This Row],[MATURITY]]-TODAY())/365</f>
        <v>-0.43287671232876712</v>
      </c>
      <c r="AC12" s="38" t="e">
        <f>_xlfn.XLOOKUP(ALL_PROD_RISK3[[#This Row],[Rank]],[1]!RANKtbl[Rank],[1]!RANKtbl[STEPS])</f>
        <v>#REF!</v>
      </c>
      <c r="AD12" s="38">
        <f>IF(ALL_PROD_RISK3[[#This Row],[RATING]]="AAA",-7,)</f>
        <v>0</v>
      </c>
      <c r="AE12" s="38"/>
      <c r="AF12" s="38"/>
      <c r="AG12" s="38"/>
      <c r="AH12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12" s="39" t="e">
        <f>IF(ALL_PROD_RISK3[[#This Row],[C_INDEX]]&lt;1,"AAA",_xlfn.XLOOKUP(ALL_PROD_RISK3[[#This Row],[C_INDEX]],[1]!CS_RATING[INDEX],[1]!CS_RATING[RATING]))</f>
        <v>#REF!</v>
      </c>
      <c r="AJ12" s="21" t="e" cm="1">
        <f t="array" aca="1" ref="AJ12" ca="1">_xll.qlInterpolation2DInterpolate([1]CS_Interplation_act!$E$15,ALL_PROD_RISK3[[#This Row],[TtM]],ALL_PROD_RISK3[[#This Row],[C_INDEX]],TRUE,[1]CS_Interplation_act!E25)</f>
        <v>#VALUE!</v>
      </c>
    </row>
    <row r="13" spans="1:40" x14ac:dyDescent="0.2">
      <c r="A13" s="31">
        <v>1</v>
      </c>
      <c r="B13" s="31">
        <v>283263</v>
      </c>
      <c r="C13" s="31" t="s">
        <v>245</v>
      </c>
      <c r="D13" s="31" t="s">
        <v>32</v>
      </c>
      <c r="E13" s="31" t="s">
        <v>42</v>
      </c>
      <c r="F13" s="31" t="s">
        <v>232</v>
      </c>
      <c r="G13" s="31" t="s">
        <v>33</v>
      </c>
      <c r="H13" s="40">
        <v>45191</v>
      </c>
      <c r="I13" s="40">
        <v>45192</v>
      </c>
      <c r="J13" s="32">
        <v>7.4999999999999997E-3</v>
      </c>
      <c r="K13" s="36"/>
      <c r="L13" s="31">
        <v>4</v>
      </c>
      <c r="M13" s="31" t="s">
        <v>43</v>
      </c>
      <c r="N13" s="31" t="s">
        <v>159</v>
      </c>
      <c r="O13" s="31" t="s">
        <v>160</v>
      </c>
      <c r="P13" s="31" t="s">
        <v>34</v>
      </c>
      <c r="W13" s="31" t="s">
        <v>35</v>
      </c>
      <c r="X13" s="31">
        <v>1</v>
      </c>
      <c r="Y13" s="31" t="s">
        <v>150</v>
      </c>
      <c r="Z13" s="31" t="s">
        <v>38</v>
      </c>
      <c r="AB13" s="37">
        <f ca="1">(ALL_PROD_RISK3[[#This Row],[MATURITY]]-TODAY())/365</f>
        <v>-0.43287671232876712</v>
      </c>
      <c r="AC13" s="38" t="e">
        <f>_xlfn.XLOOKUP(ALL_PROD_RISK3[[#This Row],[Rank]],[1]!RANKtbl[Rank],[1]!RANKtbl[STEPS])</f>
        <v>#REF!</v>
      </c>
      <c r="AD13" s="38">
        <f>IF(ALL_PROD_RISK3[[#This Row],[RATING]]="AAA",-7,)</f>
        <v>0</v>
      </c>
      <c r="AE13" s="38"/>
      <c r="AF13" s="38"/>
      <c r="AG13" s="38"/>
      <c r="AH13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13" s="39" t="e">
        <f>IF(ALL_PROD_RISK3[[#This Row],[C_INDEX]]&lt;1,"AAA",_xlfn.XLOOKUP(ALL_PROD_RISK3[[#This Row],[C_INDEX]],[1]!CS_RATING[INDEX],[1]!CS_RATING[RATING]))</f>
        <v>#REF!</v>
      </c>
      <c r="AJ13" s="21" t="e" cm="1">
        <f t="array" aca="1" ref="AJ13" ca="1">_xll.qlInterpolation2DInterpolate([1]CS_Interplation_act!$E$15,ALL_PROD_RISK3[[#This Row],[TtM]],ALL_PROD_RISK3[[#This Row],[C_INDEX]],TRUE,[1]CS_Interplation_act!E26)</f>
        <v>#VALUE!</v>
      </c>
    </row>
    <row r="14" spans="1:40" x14ac:dyDescent="0.2">
      <c r="A14" s="31">
        <v>1</v>
      </c>
      <c r="B14" s="31">
        <v>283264</v>
      </c>
      <c r="C14" s="31" t="s">
        <v>246</v>
      </c>
      <c r="D14" s="31" t="s">
        <v>32</v>
      </c>
      <c r="E14" s="31" t="s">
        <v>42</v>
      </c>
      <c r="F14" s="31" t="s">
        <v>232</v>
      </c>
      <c r="G14" s="31" t="s">
        <v>33</v>
      </c>
      <c r="H14" s="40">
        <v>45191</v>
      </c>
      <c r="I14" s="40">
        <v>45192</v>
      </c>
      <c r="J14" s="32">
        <v>7.4999999999999997E-3</v>
      </c>
      <c r="K14" s="36"/>
      <c r="L14" s="31">
        <v>4</v>
      </c>
      <c r="M14" s="31" t="s">
        <v>43</v>
      </c>
      <c r="N14" s="31" t="s">
        <v>159</v>
      </c>
      <c r="O14" s="31" t="s">
        <v>160</v>
      </c>
      <c r="P14" s="31" t="s">
        <v>34</v>
      </c>
      <c r="W14" s="31" t="s">
        <v>35</v>
      </c>
      <c r="X14" s="31">
        <v>1</v>
      </c>
      <c r="Y14" s="31" t="s">
        <v>150</v>
      </c>
      <c r="Z14" s="31" t="s">
        <v>38</v>
      </c>
      <c r="AB14" s="37">
        <f ca="1">(ALL_PROD_RISK3[[#This Row],[MATURITY]]-TODAY())/365</f>
        <v>-0.43287671232876712</v>
      </c>
      <c r="AC14" s="38" t="e">
        <f>_xlfn.XLOOKUP(ALL_PROD_RISK3[[#This Row],[Rank]],[1]!RANKtbl[Rank],[1]!RANKtbl[STEPS])</f>
        <v>#REF!</v>
      </c>
      <c r="AD14" s="38">
        <f>IF(ALL_PROD_RISK3[[#This Row],[RATING]]="AAA",-7,)</f>
        <v>0</v>
      </c>
      <c r="AE14" s="38"/>
      <c r="AF14" s="38"/>
      <c r="AG14" s="38"/>
      <c r="AH14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14" s="39" t="e">
        <f>IF(ALL_PROD_RISK3[[#This Row],[C_INDEX]]&lt;1,"AAA",_xlfn.XLOOKUP(ALL_PROD_RISK3[[#This Row],[C_INDEX]],[1]!CS_RATING[INDEX],[1]!CS_RATING[RATING]))</f>
        <v>#REF!</v>
      </c>
      <c r="AJ14" s="21" t="e" cm="1">
        <f t="array" aca="1" ref="AJ14" ca="1">_xll.qlInterpolation2DInterpolate([1]CS_Interplation_act!$E$15,ALL_PROD_RISK3[[#This Row],[TtM]],ALL_PROD_RISK3[[#This Row],[C_INDEX]],TRUE,[1]CS_Interplation_act!E27)</f>
        <v>#VALUE!</v>
      </c>
    </row>
    <row r="15" spans="1:40" x14ac:dyDescent="0.2">
      <c r="A15" s="31">
        <v>1</v>
      </c>
      <c r="B15" s="31">
        <v>283112</v>
      </c>
      <c r="C15" s="31" t="s">
        <v>247</v>
      </c>
      <c r="D15" s="31" t="s">
        <v>32</v>
      </c>
      <c r="E15" s="31" t="s">
        <v>42</v>
      </c>
      <c r="F15" s="31" t="s">
        <v>232</v>
      </c>
      <c r="G15" s="31" t="s">
        <v>33</v>
      </c>
      <c r="H15" s="40">
        <v>45191</v>
      </c>
      <c r="I15" s="40">
        <v>45192</v>
      </c>
      <c r="J15" s="32">
        <v>7.4999999999999997E-3</v>
      </c>
      <c r="K15" s="36"/>
      <c r="L15" s="31">
        <v>4</v>
      </c>
      <c r="M15" s="31" t="s">
        <v>43</v>
      </c>
      <c r="N15" s="31" t="s">
        <v>159</v>
      </c>
      <c r="O15" s="31" t="s">
        <v>160</v>
      </c>
      <c r="P15" s="31" t="s">
        <v>34</v>
      </c>
      <c r="W15" s="31" t="s">
        <v>35</v>
      </c>
      <c r="X15" s="31">
        <v>1</v>
      </c>
      <c r="Y15" s="31" t="s">
        <v>150</v>
      </c>
      <c r="Z15" s="31" t="s">
        <v>38</v>
      </c>
      <c r="AB15" s="37">
        <f ca="1">(ALL_PROD_RISK3[[#This Row],[MATURITY]]-TODAY())/365</f>
        <v>-0.43287671232876712</v>
      </c>
      <c r="AC15" s="38" t="e">
        <f>_xlfn.XLOOKUP(ALL_PROD_RISK3[[#This Row],[Rank]],[1]!RANKtbl[Rank],[1]!RANKtbl[STEPS])</f>
        <v>#REF!</v>
      </c>
      <c r="AD15" s="38">
        <f>IF(ALL_PROD_RISK3[[#This Row],[RATING]]="AAA",-7,)</f>
        <v>0</v>
      </c>
      <c r="AE15" s="38"/>
      <c r="AF15" s="38"/>
      <c r="AG15" s="38"/>
      <c r="AH15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15" s="39" t="e">
        <f>IF(ALL_PROD_RISK3[[#This Row],[C_INDEX]]&lt;1,"AAA",_xlfn.XLOOKUP(ALL_PROD_RISK3[[#This Row],[C_INDEX]],[1]!CS_RATING[INDEX],[1]!CS_RATING[RATING]))</f>
        <v>#REF!</v>
      </c>
      <c r="AJ15" s="21" t="e" cm="1">
        <f t="array" aca="1" ref="AJ15" ca="1">_xll.qlInterpolation2DInterpolate([1]CS_Interplation_act!$E$15,ALL_PROD_RISK3[[#This Row],[TtM]],ALL_PROD_RISK3[[#This Row],[C_INDEX]],TRUE,[1]CS_Interplation_act!E28)</f>
        <v>#VALUE!</v>
      </c>
    </row>
    <row r="16" spans="1:40" x14ac:dyDescent="0.2">
      <c r="A16" s="31">
        <v>1</v>
      </c>
      <c r="B16" s="31">
        <v>283132</v>
      </c>
      <c r="C16" s="31" t="s">
        <v>248</v>
      </c>
      <c r="D16" s="31" t="s">
        <v>32</v>
      </c>
      <c r="E16" s="31" t="s">
        <v>42</v>
      </c>
      <c r="F16" s="31" t="s">
        <v>232</v>
      </c>
      <c r="G16" s="31" t="s">
        <v>33</v>
      </c>
      <c r="H16" s="40">
        <v>45191</v>
      </c>
      <c r="I16" s="40">
        <v>45192</v>
      </c>
      <c r="J16" s="32">
        <v>7.4999999999999997E-3</v>
      </c>
      <c r="K16" s="36"/>
      <c r="L16" s="31">
        <v>1</v>
      </c>
      <c r="M16" s="31" t="s">
        <v>43</v>
      </c>
      <c r="N16" s="31" t="s">
        <v>159</v>
      </c>
      <c r="O16" s="31" t="s">
        <v>160</v>
      </c>
      <c r="P16" s="31" t="s">
        <v>34</v>
      </c>
      <c r="W16" s="31" t="s">
        <v>35</v>
      </c>
      <c r="X16" s="31">
        <v>1</v>
      </c>
      <c r="Y16" s="31" t="s">
        <v>150</v>
      </c>
      <c r="Z16" s="31" t="s">
        <v>38</v>
      </c>
      <c r="AB16" s="37">
        <f ca="1">(ALL_PROD_RISK3[[#This Row],[MATURITY]]-TODAY())/365</f>
        <v>-0.43287671232876712</v>
      </c>
      <c r="AC16" s="38" t="e">
        <f>_xlfn.XLOOKUP(ALL_PROD_RISK3[[#This Row],[Rank]],[1]!RANKtbl[Rank],[1]!RANKtbl[STEPS])</f>
        <v>#REF!</v>
      </c>
      <c r="AD16" s="38">
        <f>IF(ALL_PROD_RISK3[[#This Row],[RATING]]="AAA",-7,)</f>
        <v>0</v>
      </c>
      <c r="AE16" s="38"/>
      <c r="AF16" s="38"/>
      <c r="AG16" s="38"/>
      <c r="AH16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16" s="39" t="e">
        <f>IF(ALL_PROD_RISK3[[#This Row],[C_INDEX]]&lt;1,"AAA",_xlfn.XLOOKUP(ALL_PROD_RISK3[[#This Row],[C_INDEX]],[1]!CS_RATING[INDEX],[1]!CS_RATING[RATING]))</f>
        <v>#REF!</v>
      </c>
      <c r="AJ16" s="21" t="e" cm="1">
        <f t="array" aca="1" ref="AJ16" ca="1">_xll.qlInterpolation2DInterpolate([1]CS_Interplation_act!$E$15,ALL_PROD_RISK3[[#This Row],[TtM]],ALL_PROD_RISK3[[#This Row],[C_INDEX]],TRUE,[1]CS_Interplation_act!E29)</f>
        <v>#VALUE!</v>
      </c>
    </row>
    <row r="17" spans="1:36" x14ac:dyDescent="0.2">
      <c r="A17" s="31">
        <v>1</v>
      </c>
      <c r="B17" s="31" t="s">
        <v>196</v>
      </c>
      <c r="C17" s="31" t="s">
        <v>197</v>
      </c>
      <c r="D17" s="31" t="s">
        <v>198</v>
      </c>
      <c r="E17" s="31" t="s">
        <v>42</v>
      </c>
      <c r="F17" s="31" t="s">
        <v>238</v>
      </c>
      <c r="G17" s="31" t="s">
        <v>33</v>
      </c>
      <c r="H17" s="40">
        <v>43236</v>
      </c>
      <c r="I17" s="40">
        <v>45800</v>
      </c>
      <c r="J17" s="32">
        <v>2.3E-2</v>
      </c>
      <c r="K17" s="36"/>
      <c r="L17" s="31">
        <v>4</v>
      </c>
      <c r="M17" s="31" t="s">
        <v>43</v>
      </c>
      <c r="N17" s="31" t="s">
        <v>159</v>
      </c>
      <c r="O17" s="31" t="s">
        <v>160</v>
      </c>
      <c r="P17" s="31" t="s">
        <v>191</v>
      </c>
      <c r="Q17" s="31">
        <v>1</v>
      </c>
      <c r="R17" s="31" t="s">
        <v>192</v>
      </c>
      <c r="S17" s="31">
        <v>8.5000000000000006E-3</v>
      </c>
      <c r="T17" s="31">
        <v>2.3E-2</v>
      </c>
      <c r="W17" s="31" t="s">
        <v>35</v>
      </c>
      <c r="X17" s="31">
        <v>1</v>
      </c>
      <c r="Y17" s="31" t="s">
        <v>150</v>
      </c>
      <c r="Z17" s="31" t="s">
        <v>38</v>
      </c>
      <c r="AB17" s="37">
        <f ca="1">(ALL_PROD_RISK3[[#This Row],[MATURITY]]-TODAY())/365</f>
        <v>1.2328767123287672</v>
      </c>
      <c r="AC17" s="38" t="e">
        <f>_xlfn.XLOOKUP(ALL_PROD_RISK3[[#This Row],[Rank]],[1]!RANKtbl[Rank],[1]!RANKtbl[STEPS])</f>
        <v>#REF!</v>
      </c>
      <c r="AD17" s="38">
        <f>IF(ALL_PROD_RISK3[[#This Row],[RATING]]="AAA",-7,)</f>
        <v>0</v>
      </c>
      <c r="AE17" s="38"/>
      <c r="AF17" s="38"/>
      <c r="AG17" s="38"/>
      <c r="AH17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17" s="39" t="e">
        <f>IF(ALL_PROD_RISK3[[#This Row],[C_INDEX]]&lt;1,"AAA",_xlfn.XLOOKUP(ALL_PROD_RISK3[[#This Row],[C_INDEX]],[1]!CS_RATING[INDEX],[1]!CS_RATING[RATING]))</f>
        <v>#REF!</v>
      </c>
      <c r="AJ17" s="21" t="e" cm="1">
        <f t="array" aca="1" ref="AJ17" ca="1">_xll.qlInterpolation2DInterpolate([1]CS_Interplation_act!$E$15,ALL_PROD_RISK3[[#This Row],[TtM]],ALL_PROD_RISK3[[#This Row],[C_INDEX]],TRUE,[1]CS_Interplation_act!E30)</f>
        <v>#VALUE!</v>
      </c>
    </row>
    <row r="18" spans="1:36" x14ac:dyDescent="0.2">
      <c r="A18" s="31">
        <v>1</v>
      </c>
      <c r="B18" s="31">
        <v>283100</v>
      </c>
      <c r="C18" s="31" t="s">
        <v>249</v>
      </c>
      <c r="D18" s="31" t="s">
        <v>32</v>
      </c>
      <c r="E18" s="31" t="s">
        <v>44</v>
      </c>
      <c r="F18" s="31" t="s">
        <v>232</v>
      </c>
      <c r="G18" s="31" t="s">
        <v>33</v>
      </c>
      <c r="H18" s="40">
        <v>45191</v>
      </c>
      <c r="I18" s="40">
        <v>45192</v>
      </c>
      <c r="J18" s="32">
        <v>7.4999999999999997E-3</v>
      </c>
      <c r="K18" s="36"/>
      <c r="L18" s="31">
        <v>4</v>
      </c>
      <c r="M18" s="31" t="s">
        <v>45</v>
      </c>
      <c r="N18" s="31" t="s">
        <v>159</v>
      </c>
      <c r="O18" s="31" t="s">
        <v>160</v>
      </c>
      <c r="P18" s="31" t="s">
        <v>34</v>
      </c>
      <c r="W18" s="31" t="s">
        <v>35</v>
      </c>
      <c r="X18" s="31">
        <v>1</v>
      </c>
      <c r="Y18" s="31" t="s">
        <v>148</v>
      </c>
      <c r="Z18" s="31" t="s">
        <v>38</v>
      </c>
      <c r="AB18" s="37">
        <f ca="1">(ALL_PROD_RISK3[[#This Row],[MATURITY]]-TODAY())/365</f>
        <v>-0.43287671232876712</v>
      </c>
      <c r="AC18" s="38" t="e">
        <f>_xlfn.XLOOKUP(ALL_PROD_RISK3[[#This Row],[Rank]],[1]!RANKtbl[Rank],[1]!RANKtbl[STEPS])</f>
        <v>#REF!</v>
      </c>
      <c r="AD18" s="38">
        <f>IF(ALL_PROD_RISK3[[#This Row],[RATING]]="AAA",-7,)</f>
        <v>0</v>
      </c>
      <c r="AE18" s="38"/>
      <c r="AF18" s="38"/>
      <c r="AG18" s="38"/>
      <c r="AH18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18" s="39" t="e">
        <f>IF(ALL_PROD_RISK3[[#This Row],[C_INDEX]]&lt;1,"AAA",_xlfn.XLOOKUP(ALL_PROD_RISK3[[#This Row],[C_INDEX]],[1]!CS_RATING[INDEX],[1]!CS_RATING[RATING]))</f>
        <v>#REF!</v>
      </c>
      <c r="AJ18" s="21" t="e" cm="1">
        <f t="array" aca="1" ref="AJ18" ca="1">_xll.qlInterpolation2DInterpolate([1]CS_Interplation_act!$E$15,ALL_PROD_RISK3[[#This Row],[TtM]],ALL_PROD_RISK3[[#This Row],[C_INDEX]],TRUE,[1]CS_Interplation_act!E31)</f>
        <v>#VALUE!</v>
      </c>
    </row>
    <row r="19" spans="1:36" x14ac:dyDescent="0.2">
      <c r="A19" s="31">
        <v>1</v>
      </c>
      <c r="B19" s="31" t="s">
        <v>46</v>
      </c>
      <c r="C19" s="31" t="s">
        <v>47</v>
      </c>
      <c r="D19" s="31" t="s">
        <v>48</v>
      </c>
      <c r="E19" s="31" t="s">
        <v>44</v>
      </c>
      <c r="F19" s="31" t="s">
        <v>238</v>
      </c>
      <c r="G19" s="31" t="s">
        <v>33</v>
      </c>
      <c r="H19" s="40">
        <v>43158</v>
      </c>
      <c r="I19" s="40">
        <v>45324</v>
      </c>
      <c r="J19" s="32">
        <v>5.0000000000000001E-3</v>
      </c>
      <c r="K19" s="36"/>
      <c r="L19" s="31">
        <v>1</v>
      </c>
      <c r="M19" s="31" t="s">
        <v>45</v>
      </c>
      <c r="N19" s="31" t="s">
        <v>159</v>
      </c>
      <c r="O19" s="31" t="s">
        <v>160</v>
      </c>
      <c r="P19" s="31" t="s">
        <v>34</v>
      </c>
      <c r="W19" s="31" t="s">
        <v>212</v>
      </c>
      <c r="X19" s="31">
        <v>1</v>
      </c>
      <c r="Y19" s="31" t="s">
        <v>148</v>
      </c>
      <c r="Z19" s="31" t="s">
        <v>38</v>
      </c>
      <c r="AA19" s="31" t="s">
        <v>233</v>
      </c>
      <c r="AB19" s="37">
        <f ca="1">(ALL_PROD_RISK3[[#This Row],[MATURITY]]-TODAY())/365</f>
        <v>-7.1232876712328766E-2</v>
      </c>
      <c r="AC19" s="38" t="e">
        <f>_xlfn.XLOOKUP(ALL_PROD_RISK3[[#This Row],[Rank]],[1]!RANKtbl[Rank],[1]!RANKtbl[STEPS])</f>
        <v>#REF!</v>
      </c>
      <c r="AD19" s="38">
        <f>IF(ALL_PROD_RISK3[[#This Row],[RATING]]="AAA",-7,)</f>
        <v>0</v>
      </c>
      <c r="AE19" s="38"/>
      <c r="AF19" s="38"/>
      <c r="AG19" s="38"/>
      <c r="AH19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19" s="39" t="e">
        <f>IF(ALL_PROD_RISK3[[#This Row],[C_INDEX]]&lt;1,"AAA",_xlfn.XLOOKUP(ALL_PROD_RISK3[[#This Row],[C_INDEX]],[1]!CS_RATING[INDEX],[1]!CS_RATING[RATING]))</f>
        <v>#REF!</v>
      </c>
      <c r="AJ19" s="21" t="e" cm="1">
        <f t="array" aca="1" ref="AJ19" ca="1">_xll.qlInterpolation2DInterpolate([1]CS_Interplation_act!$E$15,ALL_PROD_RISK3[[#This Row],[TtM]],ALL_PROD_RISK3[[#This Row],[C_INDEX]],TRUE,[1]CS_Interplation_act!E32)</f>
        <v>#VALUE!</v>
      </c>
    </row>
    <row r="20" spans="1:36" x14ac:dyDescent="0.2">
      <c r="A20" s="31">
        <v>1</v>
      </c>
      <c r="B20" s="31">
        <v>283241</v>
      </c>
      <c r="C20" s="31" t="s">
        <v>250</v>
      </c>
      <c r="D20" s="31" t="s">
        <v>32</v>
      </c>
      <c r="E20" s="31" t="s">
        <v>49</v>
      </c>
      <c r="F20" s="31" t="s">
        <v>232</v>
      </c>
      <c r="G20" s="31" t="s">
        <v>33</v>
      </c>
      <c r="H20" s="40">
        <v>45191</v>
      </c>
      <c r="I20" s="40">
        <v>45192</v>
      </c>
      <c r="J20" s="32">
        <v>2.5000000000000001E-3</v>
      </c>
      <c r="K20" s="36"/>
      <c r="L20" s="31">
        <v>4</v>
      </c>
      <c r="M20" s="31" t="s">
        <v>50</v>
      </c>
      <c r="N20" s="31" t="s">
        <v>159</v>
      </c>
      <c r="O20" s="31" t="s">
        <v>160</v>
      </c>
      <c r="P20" s="31" t="s">
        <v>34</v>
      </c>
      <c r="W20" s="31" t="s">
        <v>35</v>
      </c>
      <c r="X20" s="31">
        <v>1</v>
      </c>
      <c r="Y20" s="31" t="s">
        <v>146</v>
      </c>
      <c r="Z20" s="31" t="s">
        <v>38</v>
      </c>
      <c r="AA20" s="31" t="s">
        <v>251</v>
      </c>
      <c r="AB20" s="37">
        <f ca="1">(ALL_PROD_RISK3[[#This Row],[MATURITY]]-TODAY())/365</f>
        <v>-0.43287671232876712</v>
      </c>
      <c r="AC20" s="38" t="e">
        <f>_xlfn.XLOOKUP(ALL_PROD_RISK3[[#This Row],[Rank]],[1]!RANKtbl[Rank],[1]!RANKtbl[STEPS])</f>
        <v>#REF!</v>
      </c>
      <c r="AD20" s="38">
        <f>IF(ALL_PROD_RISK3[[#This Row],[RATING]]="AAA",-7,)</f>
        <v>0</v>
      </c>
      <c r="AE20" s="38"/>
      <c r="AF20" s="38"/>
      <c r="AG20" s="38"/>
      <c r="AH20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20" s="39" t="e">
        <f>IF(ALL_PROD_RISK3[[#This Row],[C_INDEX]]&lt;1,"AAA",_xlfn.XLOOKUP(ALL_PROD_RISK3[[#This Row],[C_INDEX]],[1]!CS_RATING[INDEX],[1]!CS_RATING[RATING]))</f>
        <v>#REF!</v>
      </c>
      <c r="AJ20" s="21" t="e" cm="1">
        <f t="array" aca="1" ref="AJ20" ca="1">_xll.qlInterpolation2DInterpolate([1]CS_Interplation_act!$E$15,ALL_PROD_RISK3[[#This Row],[TtM]],ALL_PROD_RISK3[[#This Row],[C_INDEX]],TRUE,[1]CS_Interplation_act!E33)</f>
        <v>#VALUE!</v>
      </c>
    </row>
    <row r="21" spans="1:36" x14ac:dyDescent="0.2">
      <c r="A21" s="31">
        <v>1</v>
      </c>
      <c r="B21" s="31">
        <v>283246</v>
      </c>
      <c r="C21" s="31" t="s">
        <v>252</v>
      </c>
      <c r="D21" s="31" t="s">
        <v>32</v>
      </c>
      <c r="E21" s="31" t="s">
        <v>49</v>
      </c>
      <c r="F21" s="31" t="s">
        <v>232</v>
      </c>
      <c r="G21" s="31" t="s">
        <v>33</v>
      </c>
      <c r="H21" s="40">
        <v>45191</v>
      </c>
      <c r="I21" s="40">
        <v>45192</v>
      </c>
      <c r="J21" s="32">
        <v>0.01</v>
      </c>
      <c r="K21" s="36"/>
      <c r="L21" s="31">
        <v>4</v>
      </c>
      <c r="M21" s="31" t="s">
        <v>50</v>
      </c>
      <c r="N21" s="31" t="s">
        <v>159</v>
      </c>
      <c r="O21" s="31" t="s">
        <v>160</v>
      </c>
      <c r="P21" s="31" t="s">
        <v>34</v>
      </c>
      <c r="W21" s="31" t="s">
        <v>35</v>
      </c>
      <c r="X21" s="31">
        <v>1</v>
      </c>
      <c r="Y21" s="31" t="s">
        <v>146</v>
      </c>
      <c r="Z21" s="31" t="s">
        <v>38</v>
      </c>
      <c r="AB21" s="37">
        <f ca="1">(ALL_PROD_RISK3[[#This Row],[MATURITY]]-TODAY())/365</f>
        <v>-0.43287671232876712</v>
      </c>
      <c r="AC21" s="38" t="e">
        <f>_xlfn.XLOOKUP(ALL_PROD_RISK3[[#This Row],[Rank]],[1]!RANKtbl[Rank],[1]!RANKtbl[STEPS])</f>
        <v>#REF!</v>
      </c>
      <c r="AD21" s="38">
        <f>IF(ALL_PROD_RISK3[[#This Row],[RATING]]="AAA",-7,)</f>
        <v>0</v>
      </c>
      <c r="AE21" s="38"/>
      <c r="AF21" s="38"/>
      <c r="AG21" s="38"/>
      <c r="AH21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21" s="39" t="e">
        <f>IF(ALL_PROD_RISK3[[#This Row],[C_INDEX]]&lt;1,"AAA",_xlfn.XLOOKUP(ALL_PROD_RISK3[[#This Row],[C_INDEX]],[1]!CS_RATING[INDEX],[1]!CS_RATING[RATING]))</f>
        <v>#REF!</v>
      </c>
      <c r="AJ21" s="21" t="e" cm="1">
        <f t="array" aca="1" ref="AJ21" ca="1">_xll.qlInterpolation2DInterpolate([1]CS_Interplation_act!$E$15,ALL_PROD_RISK3[[#This Row],[TtM]],ALL_PROD_RISK3[[#This Row],[C_INDEX]],TRUE,[1]CS_Interplation_act!E34)</f>
        <v>#VALUE!</v>
      </c>
    </row>
    <row r="22" spans="1:36" x14ac:dyDescent="0.2">
      <c r="A22" s="31">
        <v>1</v>
      </c>
      <c r="B22" s="31" t="s">
        <v>253</v>
      </c>
      <c r="C22" s="31" t="s">
        <v>254</v>
      </c>
      <c r="D22" s="31" t="s">
        <v>32</v>
      </c>
      <c r="E22" s="31" t="s">
        <v>49</v>
      </c>
      <c r="F22" s="31" t="s">
        <v>238</v>
      </c>
      <c r="G22" s="31" t="s">
        <v>33</v>
      </c>
      <c r="H22" s="40">
        <v>43598</v>
      </c>
      <c r="I22" s="40">
        <v>45272</v>
      </c>
      <c r="J22" s="32">
        <v>6.2500000000000003E-3</v>
      </c>
      <c r="K22" s="36"/>
      <c r="L22" s="31">
        <v>1</v>
      </c>
      <c r="M22" s="31" t="s">
        <v>50</v>
      </c>
      <c r="N22" s="31" t="s">
        <v>159</v>
      </c>
      <c r="O22" s="31" t="s">
        <v>160</v>
      </c>
      <c r="P22" s="31" t="s">
        <v>34</v>
      </c>
      <c r="W22" s="31" t="s">
        <v>35</v>
      </c>
      <c r="X22" s="31">
        <v>1</v>
      </c>
      <c r="Y22" s="31" t="s">
        <v>146</v>
      </c>
      <c r="Z22" s="31" t="s">
        <v>38</v>
      </c>
      <c r="AB22" s="37">
        <f ca="1">(ALL_PROD_RISK3[[#This Row],[MATURITY]]-TODAY())/365</f>
        <v>-0.21369863013698631</v>
      </c>
      <c r="AC22" s="38" t="e">
        <f>_xlfn.XLOOKUP(ALL_PROD_RISK3[[#This Row],[Rank]],[1]!RANKtbl[Rank],[1]!RANKtbl[STEPS])</f>
        <v>#REF!</v>
      </c>
      <c r="AD22" s="38">
        <f>IF(ALL_PROD_RISK3[[#This Row],[RATING]]="AAA",-7,)</f>
        <v>0</v>
      </c>
      <c r="AE22" s="38"/>
      <c r="AF22" s="38"/>
      <c r="AG22" s="38"/>
      <c r="AH22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22" s="39" t="e">
        <f>IF(ALL_PROD_RISK3[[#This Row],[C_INDEX]]&lt;1,"AAA",_xlfn.XLOOKUP(ALL_PROD_RISK3[[#This Row],[C_INDEX]],[1]!CS_RATING[INDEX],[1]!CS_RATING[RATING]))</f>
        <v>#REF!</v>
      </c>
      <c r="AJ22" s="21" t="e" cm="1">
        <f t="array" aca="1" ref="AJ22" ca="1">_xll.qlInterpolation2DInterpolate([1]CS_Interplation_act!$E$15,ALL_PROD_RISK3[[#This Row],[TtM]],ALL_PROD_RISK3[[#This Row],[C_INDEX]],TRUE,[1]CS_Interplation_act!E35)</f>
        <v>#VALUE!</v>
      </c>
    </row>
    <row r="23" spans="1:36" x14ac:dyDescent="0.2">
      <c r="A23" s="31">
        <v>1</v>
      </c>
      <c r="B23" s="31" t="s">
        <v>51</v>
      </c>
      <c r="C23" s="31" t="s">
        <v>52</v>
      </c>
      <c r="D23" s="31" t="s">
        <v>32</v>
      </c>
      <c r="E23" s="31" t="s">
        <v>49</v>
      </c>
      <c r="F23" s="31" t="s">
        <v>238</v>
      </c>
      <c r="G23" s="31" t="s">
        <v>33</v>
      </c>
      <c r="H23" s="40">
        <v>44470</v>
      </c>
      <c r="I23" s="40">
        <v>46386</v>
      </c>
      <c r="J23" s="32">
        <v>1.0000000000000002E-6</v>
      </c>
      <c r="K23" s="36"/>
      <c r="L23" s="31">
        <v>1</v>
      </c>
      <c r="M23" s="31" t="s">
        <v>50</v>
      </c>
      <c r="N23" s="31" t="s">
        <v>159</v>
      </c>
      <c r="O23" s="31" t="s">
        <v>160</v>
      </c>
      <c r="P23" s="31" t="s">
        <v>34</v>
      </c>
      <c r="W23" s="31" t="s">
        <v>35</v>
      </c>
      <c r="X23" s="31">
        <v>1</v>
      </c>
      <c r="Y23" s="31" t="s">
        <v>146</v>
      </c>
      <c r="Z23" s="31" t="s">
        <v>38</v>
      </c>
      <c r="AB23" s="37">
        <f ca="1">(ALL_PROD_RISK3[[#This Row],[MATURITY]]-TODAY())/365</f>
        <v>2.8383561643835615</v>
      </c>
      <c r="AC23" s="38" t="e">
        <f>_xlfn.XLOOKUP(ALL_PROD_RISK3[[#This Row],[Rank]],[1]!RANKtbl[Rank],[1]!RANKtbl[STEPS])</f>
        <v>#REF!</v>
      </c>
      <c r="AD23" s="38">
        <f>IF(ALL_PROD_RISK3[[#This Row],[RATING]]="AAA",-7,)</f>
        <v>0</v>
      </c>
      <c r="AE23" s="38"/>
      <c r="AF23" s="38"/>
      <c r="AG23" s="38"/>
      <c r="AH23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23" s="39" t="e">
        <f>IF(ALL_PROD_RISK3[[#This Row],[C_INDEX]]&lt;1,"AAA",_xlfn.XLOOKUP(ALL_PROD_RISK3[[#This Row],[C_INDEX]],[1]!CS_RATING[INDEX],[1]!CS_RATING[RATING]))</f>
        <v>#REF!</v>
      </c>
      <c r="AJ23" s="21" t="e" cm="1">
        <f t="array" aca="1" ref="AJ23" ca="1">_xll.qlInterpolation2DInterpolate([1]CS_Interplation_act!$E$15,ALL_PROD_RISK3[[#This Row],[TtM]],ALL_PROD_RISK3[[#This Row],[C_INDEX]],TRUE,[1]CS_Interplation_act!E36)</f>
        <v>#VALUE!</v>
      </c>
    </row>
    <row r="24" spans="1:36" x14ac:dyDescent="0.2">
      <c r="A24" s="31">
        <v>1</v>
      </c>
      <c r="B24" s="31" t="s">
        <v>255</v>
      </c>
      <c r="C24" s="31" t="s">
        <v>256</v>
      </c>
      <c r="D24" s="31" t="s">
        <v>32</v>
      </c>
      <c r="E24" s="31" t="s">
        <v>49</v>
      </c>
      <c r="F24" s="31" t="s">
        <v>238</v>
      </c>
      <c r="G24" s="31" t="s">
        <v>33</v>
      </c>
      <c r="H24" s="40">
        <v>41121</v>
      </c>
      <c r="I24" s="40">
        <v>45272</v>
      </c>
      <c r="J24" s="32">
        <v>0</v>
      </c>
      <c r="K24" s="36"/>
      <c r="L24" s="31">
        <v>1</v>
      </c>
      <c r="M24" s="31" t="s">
        <v>50</v>
      </c>
      <c r="N24" s="31" t="s">
        <v>159</v>
      </c>
      <c r="O24" s="31" t="s">
        <v>160</v>
      </c>
      <c r="P24" s="31" t="s">
        <v>34</v>
      </c>
      <c r="W24" s="31" t="s">
        <v>35</v>
      </c>
      <c r="X24" s="31">
        <v>1</v>
      </c>
      <c r="Y24" s="31" t="s">
        <v>146</v>
      </c>
      <c r="Z24" s="31" t="s">
        <v>38</v>
      </c>
      <c r="AB24" s="37">
        <f ca="1">(ALL_PROD_RISK3[[#This Row],[MATURITY]]-TODAY())/365</f>
        <v>-0.21369863013698631</v>
      </c>
      <c r="AC24" s="38" t="e">
        <f>_xlfn.XLOOKUP(ALL_PROD_RISK3[[#This Row],[Rank]],[1]!RANKtbl[Rank],[1]!RANKtbl[STEPS])</f>
        <v>#REF!</v>
      </c>
      <c r="AD24" s="38">
        <f>IF(ALL_PROD_RISK3[[#This Row],[RATING]]="AAA",-7,)</f>
        <v>0</v>
      </c>
      <c r="AE24" s="38"/>
      <c r="AF24" s="38"/>
      <c r="AG24" s="38"/>
      <c r="AH24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24" s="39" t="e">
        <f>IF(ALL_PROD_RISK3[[#This Row],[C_INDEX]]&lt;1,"AAA",_xlfn.XLOOKUP(ALL_PROD_RISK3[[#This Row],[C_INDEX]],[1]!CS_RATING[INDEX],[1]!CS_RATING[RATING]))</f>
        <v>#REF!</v>
      </c>
      <c r="AJ24" s="21" t="e" cm="1">
        <f t="array" aca="1" ref="AJ24" ca="1">_xll.qlInterpolation2DInterpolate([1]CS_Interplation_act!$E$15,ALL_PROD_RISK3[[#This Row],[TtM]],ALL_PROD_RISK3[[#This Row],[C_INDEX]],TRUE,[1]CS_Interplation_act!E37)</f>
        <v>#VALUE!</v>
      </c>
    </row>
    <row r="25" spans="1:36" x14ac:dyDescent="0.2">
      <c r="A25" s="31">
        <v>1</v>
      </c>
      <c r="B25" s="31" t="s">
        <v>257</v>
      </c>
      <c r="C25" s="31" t="s">
        <v>258</v>
      </c>
      <c r="D25" s="31" t="s">
        <v>32</v>
      </c>
      <c r="E25" s="31" t="s">
        <v>53</v>
      </c>
      <c r="F25" s="31" t="s">
        <v>238</v>
      </c>
      <c r="G25" s="31" t="s">
        <v>33</v>
      </c>
      <c r="H25" s="40">
        <v>43437</v>
      </c>
      <c r="I25" s="40">
        <v>45264</v>
      </c>
      <c r="J25" s="32">
        <v>0.01</v>
      </c>
      <c r="K25" s="36"/>
      <c r="L25" s="31">
        <v>1</v>
      </c>
      <c r="M25" s="31" t="s">
        <v>54</v>
      </c>
      <c r="N25" s="31" t="s">
        <v>159</v>
      </c>
      <c r="O25" s="31" t="s">
        <v>160</v>
      </c>
      <c r="P25" s="31" t="s">
        <v>34</v>
      </c>
      <c r="W25" s="31" t="s">
        <v>35</v>
      </c>
      <c r="X25" s="31">
        <v>1</v>
      </c>
      <c r="Y25" s="31" t="s">
        <v>147</v>
      </c>
      <c r="Z25" s="31" t="s">
        <v>38</v>
      </c>
      <c r="AB25" s="37">
        <f ca="1">(ALL_PROD_RISK3[[#This Row],[MATURITY]]-TODAY())/365</f>
        <v>-0.23561643835616439</v>
      </c>
      <c r="AC25" s="38" t="e">
        <f>_xlfn.XLOOKUP(ALL_PROD_RISK3[[#This Row],[Rank]],[1]!RANKtbl[Rank],[1]!RANKtbl[STEPS])</f>
        <v>#REF!</v>
      </c>
      <c r="AD25" s="38">
        <f>IF(ALL_PROD_RISK3[[#This Row],[RATING]]="AAA",-7,)</f>
        <v>0</v>
      </c>
      <c r="AE25" s="38"/>
      <c r="AF25" s="38"/>
      <c r="AG25" s="38"/>
      <c r="AH25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25" s="39" t="e">
        <f>IF(ALL_PROD_RISK3[[#This Row],[C_INDEX]]&lt;1,"AAA",_xlfn.XLOOKUP(ALL_PROD_RISK3[[#This Row],[C_INDEX]],[1]!CS_RATING[INDEX],[1]!CS_RATING[RATING]))</f>
        <v>#REF!</v>
      </c>
      <c r="AJ25" s="21" t="e" cm="1">
        <f t="array" aca="1" ref="AJ25" ca="1">_xll.qlInterpolation2DInterpolate([1]CS_Interplation_act!$E$15,ALL_PROD_RISK3[[#This Row],[TtM]],ALL_PROD_RISK3[[#This Row],[C_INDEX]],TRUE,[1]CS_Interplation_act!E38)</f>
        <v>#VALUE!</v>
      </c>
    </row>
    <row r="26" spans="1:36" x14ac:dyDescent="0.2">
      <c r="A26" s="31">
        <v>1</v>
      </c>
      <c r="B26" s="31" t="s">
        <v>55</v>
      </c>
      <c r="C26" s="31" t="s">
        <v>56</v>
      </c>
      <c r="D26" s="31" t="s">
        <v>32</v>
      </c>
      <c r="E26" s="31" t="s">
        <v>53</v>
      </c>
      <c r="F26" s="31" t="s">
        <v>238</v>
      </c>
      <c r="G26" s="31" t="s">
        <v>33</v>
      </c>
      <c r="H26" s="40">
        <v>43916</v>
      </c>
      <c r="I26" s="40">
        <v>45679</v>
      </c>
      <c r="J26" s="32">
        <v>2.5000000000000001E-3</v>
      </c>
      <c r="K26" s="36"/>
      <c r="L26" s="31">
        <v>1</v>
      </c>
      <c r="M26" s="31" t="s">
        <v>54</v>
      </c>
      <c r="N26" s="31" t="s">
        <v>159</v>
      </c>
      <c r="O26" s="31" t="s">
        <v>160</v>
      </c>
      <c r="P26" s="31" t="s">
        <v>34</v>
      </c>
      <c r="W26" s="31" t="s">
        <v>35</v>
      </c>
      <c r="X26" s="31">
        <v>1</v>
      </c>
      <c r="Y26" s="31" t="s">
        <v>147</v>
      </c>
      <c r="Z26" s="31" t="s">
        <v>38</v>
      </c>
      <c r="AB26" s="37">
        <f ca="1">(ALL_PROD_RISK3[[#This Row],[MATURITY]]-TODAY())/365</f>
        <v>0.90136986301369859</v>
      </c>
      <c r="AC26" s="38" t="e">
        <f>_xlfn.XLOOKUP(ALL_PROD_RISK3[[#This Row],[Rank]],[1]!RANKtbl[Rank],[1]!RANKtbl[STEPS])</f>
        <v>#REF!</v>
      </c>
      <c r="AD26" s="38">
        <f>IF(ALL_PROD_RISK3[[#This Row],[RATING]]="AAA",-7,)</f>
        <v>0</v>
      </c>
      <c r="AE26" s="38"/>
      <c r="AF26" s="38"/>
      <c r="AG26" s="38"/>
      <c r="AH26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26" s="39" t="e">
        <f>IF(ALL_PROD_RISK3[[#This Row],[C_INDEX]]&lt;1,"AAA",_xlfn.XLOOKUP(ALL_PROD_RISK3[[#This Row],[C_INDEX]],[1]!CS_RATING[INDEX],[1]!CS_RATING[RATING]))</f>
        <v>#REF!</v>
      </c>
      <c r="AJ26" s="21" t="e" cm="1">
        <f t="array" aca="1" ref="AJ26" ca="1">_xll.qlInterpolation2DInterpolate([1]CS_Interplation_act!$E$15,ALL_PROD_RISK3[[#This Row],[TtM]],ALL_PROD_RISK3[[#This Row],[C_INDEX]],TRUE,[1]CS_Interplation_act!E39)</f>
        <v>#VALUE!</v>
      </c>
    </row>
    <row r="27" spans="1:36" x14ac:dyDescent="0.2">
      <c r="A27" s="31">
        <v>1</v>
      </c>
      <c r="B27" s="31" t="s">
        <v>57</v>
      </c>
      <c r="C27" s="31" t="s">
        <v>58</v>
      </c>
      <c r="D27" s="31" t="s">
        <v>32</v>
      </c>
      <c r="E27" s="31" t="s">
        <v>53</v>
      </c>
      <c r="F27" s="31" t="s">
        <v>238</v>
      </c>
      <c r="G27" s="31" t="s">
        <v>33</v>
      </c>
      <c r="H27" s="40">
        <v>43798</v>
      </c>
      <c r="I27" s="40">
        <v>46290</v>
      </c>
      <c r="J27" s="32">
        <v>3.7499999999999999E-3</v>
      </c>
      <c r="K27" s="36"/>
      <c r="L27" s="31">
        <v>1</v>
      </c>
      <c r="M27" s="31" t="s">
        <v>54</v>
      </c>
      <c r="N27" s="31" t="s">
        <v>159</v>
      </c>
      <c r="O27" s="31" t="s">
        <v>160</v>
      </c>
      <c r="P27" s="31" t="s">
        <v>34</v>
      </c>
      <c r="W27" s="31" t="s">
        <v>35</v>
      </c>
      <c r="X27" s="31">
        <v>1</v>
      </c>
      <c r="Y27" s="31" t="s">
        <v>147</v>
      </c>
      <c r="Z27" s="31" t="s">
        <v>38</v>
      </c>
      <c r="AB27" s="37">
        <f ca="1">(ALL_PROD_RISK3[[#This Row],[MATURITY]]-TODAY())/365</f>
        <v>2.5753424657534247</v>
      </c>
      <c r="AC27" s="38" t="e">
        <f>_xlfn.XLOOKUP(ALL_PROD_RISK3[[#This Row],[Rank]],[1]!RANKtbl[Rank],[1]!RANKtbl[STEPS])</f>
        <v>#REF!</v>
      </c>
      <c r="AD27" s="38">
        <f>IF(ALL_PROD_RISK3[[#This Row],[RATING]]="AAA",-7,)</f>
        <v>0</v>
      </c>
      <c r="AE27" s="38"/>
      <c r="AF27" s="38"/>
      <c r="AG27" s="38"/>
      <c r="AH27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27" s="39" t="e">
        <f>IF(ALL_PROD_RISK3[[#This Row],[C_INDEX]]&lt;1,"AAA",_xlfn.XLOOKUP(ALL_PROD_RISK3[[#This Row],[C_INDEX]],[1]!CS_RATING[INDEX],[1]!CS_RATING[RATING]))</f>
        <v>#REF!</v>
      </c>
      <c r="AJ27" s="21" t="e" cm="1">
        <f t="array" aca="1" ref="AJ27" ca="1">_xll.qlInterpolation2DInterpolate([1]CS_Interplation_act!$E$15,ALL_PROD_RISK3[[#This Row],[TtM]],ALL_PROD_RISK3[[#This Row],[C_INDEX]],TRUE,[1]CS_Interplation_act!E40)</f>
        <v>#VALUE!</v>
      </c>
    </row>
    <row r="28" spans="1:36" x14ac:dyDescent="0.2">
      <c r="A28" s="31">
        <v>1</v>
      </c>
      <c r="B28" s="31" t="s">
        <v>59</v>
      </c>
      <c r="C28" s="31" t="s">
        <v>60</v>
      </c>
      <c r="D28" s="31" t="s">
        <v>32</v>
      </c>
      <c r="E28" s="31" t="s">
        <v>62</v>
      </c>
      <c r="F28" s="31" t="s">
        <v>238</v>
      </c>
      <c r="G28" s="31" t="s">
        <v>33</v>
      </c>
      <c r="H28" s="40">
        <v>43229</v>
      </c>
      <c r="I28" s="40">
        <v>45793</v>
      </c>
      <c r="J28" s="32">
        <v>6.2500000000000003E-3</v>
      </c>
      <c r="K28" s="36"/>
      <c r="L28" s="31">
        <v>1</v>
      </c>
      <c r="M28" s="31" t="s">
        <v>63</v>
      </c>
      <c r="N28" s="31" t="s">
        <v>159</v>
      </c>
      <c r="O28" s="31" t="s">
        <v>160</v>
      </c>
      <c r="P28" s="31" t="s">
        <v>191</v>
      </c>
      <c r="Q28" s="31">
        <v>1</v>
      </c>
      <c r="R28" s="31" t="s">
        <v>192</v>
      </c>
      <c r="S28" s="31">
        <v>8.5000000000000006E-3</v>
      </c>
      <c r="T28" s="31">
        <v>2.3E-2</v>
      </c>
      <c r="W28" s="31" t="s">
        <v>35</v>
      </c>
      <c r="X28" s="31">
        <v>1</v>
      </c>
      <c r="Y28" s="31" t="s">
        <v>146</v>
      </c>
      <c r="Z28" s="31" t="s">
        <v>38</v>
      </c>
      <c r="AB28" s="37">
        <f ca="1">(ALL_PROD_RISK3[[#This Row],[MATURITY]]-TODAY())/365</f>
        <v>1.2136986301369863</v>
      </c>
      <c r="AC28" s="38" t="e">
        <f>_xlfn.XLOOKUP(ALL_PROD_RISK3[[#This Row],[Rank]],[1]!RANKtbl[Rank],[1]!RANKtbl[STEPS])</f>
        <v>#REF!</v>
      </c>
      <c r="AD28" s="38">
        <f>IF(ALL_PROD_RISK3[[#This Row],[RATING]]="AAA",-7,)</f>
        <v>0</v>
      </c>
      <c r="AE28" s="38"/>
      <c r="AF28" s="38"/>
      <c r="AG28" s="38"/>
      <c r="AH28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28" s="39" t="e">
        <f>IF(ALL_PROD_RISK3[[#This Row],[C_INDEX]]&lt;1,"AAA",_xlfn.XLOOKUP(ALL_PROD_RISK3[[#This Row],[C_INDEX]],[1]!CS_RATING[INDEX],[1]!CS_RATING[RATING]))</f>
        <v>#REF!</v>
      </c>
      <c r="AJ28" s="21" t="e" cm="1">
        <f t="array" aca="1" ref="AJ28" ca="1">_xll.qlInterpolation2DInterpolate([1]CS_Interplation_act!$E$15,ALL_PROD_RISK3[[#This Row],[TtM]],ALL_PROD_RISK3[[#This Row],[C_INDEX]],TRUE,[1]CS_Interplation_act!E41)</f>
        <v>#VALUE!</v>
      </c>
    </row>
    <row r="29" spans="1:36" x14ac:dyDescent="0.2">
      <c r="A29" s="31">
        <v>1</v>
      </c>
      <c r="B29" s="31" t="s">
        <v>199</v>
      </c>
      <c r="C29" s="31" t="s">
        <v>200</v>
      </c>
      <c r="D29" s="31" t="s">
        <v>201</v>
      </c>
      <c r="E29" s="31" t="s">
        <v>64</v>
      </c>
      <c r="F29" s="31" t="s">
        <v>238</v>
      </c>
      <c r="G29" s="31" t="s">
        <v>33</v>
      </c>
      <c r="H29" s="40">
        <v>43445</v>
      </c>
      <c r="I29" s="40">
        <v>46010</v>
      </c>
      <c r="J29" s="32">
        <v>3.193E-2</v>
      </c>
      <c r="K29" s="36"/>
      <c r="L29" s="31">
        <v>2</v>
      </c>
      <c r="M29" s="31" t="s">
        <v>65</v>
      </c>
      <c r="N29" s="31" t="s">
        <v>159</v>
      </c>
      <c r="O29" s="31" t="s">
        <v>160</v>
      </c>
      <c r="P29" s="31" t="s">
        <v>191</v>
      </c>
      <c r="Q29" s="31">
        <v>1</v>
      </c>
      <c r="R29" s="31" t="s">
        <v>202</v>
      </c>
      <c r="S29" s="31">
        <v>7.4999999999999997E-3</v>
      </c>
      <c r="T29" s="31">
        <v>3.2500000000000001E-2</v>
      </c>
      <c r="U29" s="31">
        <v>5.0000000000000001E-3</v>
      </c>
      <c r="W29" s="31" t="s">
        <v>35</v>
      </c>
      <c r="X29" s="31">
        <v>1</v>
      </c>
      <c r="Y29" s="31" t="s">
        <v>147</v>
      </c>
      <c r="Z29" s="31" t="s">
        <v>38</v>
      </c>
      <c r="AB29" s="37">
        <f ca="1">(ALL_PROD_RISK3[[#This Row],[MATURITY]]-TODAY())/365</f>
        <v>1.8082191780821917</v>
      </c>
      <c r="AC29" s="38" t="e">
        <f>_xlfn.XLOOKUP(ALL_PROD_RISK3[[#This Row],[Rank]],[1]!RANKtbl[Rank],[1]!RANKtbl[STEPS])</f>
        <v>#REF!</v>
      </c>
      <c r="AD29" s="38">
        <f>IF(ALL_PROD_RISK3[[#This Row],[RATING]]="AAA",-7,)</f>
        <v>0</v>
      </c>
      <c r="AE29" s="38"/>
      <c r="AF29" s="38"/>
      <c r="AG29" s="38"/>
      <c r="AH29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29" s="39" t="e">
        <f>IF(ALL_PROD_RISK3[[#This Row],[C_INDEX]]&lt;1,"AAA",_xlfn.XLOOKUP(ALL_PROD_RISK3[[#This Row],[C_INDEX]],[1]!CS_RATING[INDEX],[1]!CS_RATING[RATING]))</f>
        <v>#REF!</v>
      </c>
      <c r="AJ29" s="21" t="e" cm="1">
        <f t="array" aca="1" ref="AJ29" ca="1">_xll.qlInterpolation2DInterpolate([1]CS_Interplation_act!$E$15,ALL_PROD_RISK3[[#This Row],[TtM]],ALL_PROD_RISK3[[#This Row],[C_INDEX]],TRUE,[1]CS_Interplation_act!E42)</f>
        <v>#VALUE!</v>
      </c>
    </row>
    <row r="30" spans="1:36" x14ac:dyDescent="0.2">
      <c r="A30" s="31">
        <v>1</v>
      </c>
      <c r="B30" s="31" t="s">
        <v>66</v>
      </c>
      <c r="C30" s="31" t="s">
        <v>67</v>
      </c>
      <c r="D30" s="31" t="s">
        <v>32</v>
      </c>
      <c r="E30" s="31" t="s">
        <v>64</v>
      </c>
      <c r="F30" s="31" t="s">
        <v>238</v>
      </c>
      <c r="G30" s="31" t="s">
        <v>33</v>
      </c>
      <c r="H30" s="40">
        <v>43812</v>
      </c>
      <c r="I30" s="40">
        <v>45646</v>
      </c>
      <c r="J30" s="32">
        <v>4.4999999999999997E-3</v>
      </c>
      <c r="K30" s="36"/>
      <c r="L30" s="31">
        <v>1</v>
      </c>
      <c r="M30" s="31" t="s">
        <v>65</v>
      </c>
      <c r="N30" s="31" t="s">
        <v>159</v>
      </c>
      <c r="O30" s="31" t="s">
        <v>160</v>
      </c>
      <c r="P30" s="31" t="s">
        <v>34</v>
      </c>
      <c r="W30" s="31" t="s">
        <v>35</v>
      </c>
      <c r="X30" s="31">
        <v>1</v>
      </c>
      <c r="Y30" s="31" t="s">
        <v>147</v>
      </c>
      <c r="Z30" s="31" t="s">
        <v>38</v>
      </c>
      <c r="AB30" s="37">
        <f ca="1">(ALL_PROD_RISK3[[#This Row],[MATURITY]]-TODAY())/365</f>
        <v>0.81095890410958904</v>
      </c>
      <c r="AC30" s="38" t="e">
        <f>_xlfn.XLOOKUP(ALL_PROD_RISK3[[#This Row],[Rank]],[1]!RANKtbl[Rank],[1]!RANKtbl[STEPS])</f>
        <v>#REF!</v>
      </c>
      <c r="AD30" s="38">
        <f>IF(ALL_PROD_RISK3[[#This Row],[RATING]]="AAA",-7,)</f>
        <v>0</v>
      </c>
      <c r="AE30" s="38"/>
      <c r="AF30" s="38"/>
      <c r="AG30" s="38"/>
      <c r="AH30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30" s="39" t="e">
        <f>IF(ALL_PROD_RISK3[[#This Row],[C_INDEX]]&lt;1,"AAA",_xlfn.XLOOKUP(ALL_PROD_RISK3[[#This Row],[C_INDEX]],[1]!CS_RATING[INDEX],[1]!CS_RATING[RATING]))</f>
        <v>#REF!</v>
      </c>
      <c r="AJ30" s="21" t="e" cm="1">
        <f t="array" aca="1" ref="AJ30" ca="1">_xll.qlInterpolation2DInterpolate([1]CS_Interplation_act!$E$15,ALL_PROD_RISK3[[#This Row],[TtM]],ALL_PROD_RISK3[[#This Row],[C_INDEX]],TRUE,[1]CS_Interplation_act!E43)</f>
        <v>#VALUE!</v>
      </c>
    </row>
    <row r="31" spans="1:36" x14ac:dyDescent="0.2">
      <c r="A31" s="31">
        <v>1</v>
      </c>
      <c r="B31" s="31">
        <v>283340</v>
      </c>
      <c r="C31" s="31" t="s">
        <v>259</v>
      </c>
      <c r="D31" s="31" t="s">
        <v>32</v>
      </c>
      <c r="E31" s="31" t="s">
        <v>68</v>
      </c>
      <c r="F31" s="31" t="s">
        <v>232</v>
      </c>
      <c r="G31" s="31" t="s">
        <v>33</v>
      </c>
      <c r="H31" s="40">
        <v>45191</v>
      </c>
      <c r="I31" s="40">
        <v>45192</v>
      </c>
      <c r="J31" s="32">
        <v>0</v>
      </c>
      <c r="K31" s="36"/>
      <c r="L31" s="31">
        <v>4</v>
      </c>
      <c r="M31" s="31" t="s">
        <v>69</v>
      </c>
      <c r="N31" s="31" t="s">
        <v>159</v>
      </c>
      <c r="O31" s="31" t="s">
        <v>160</v>
      </c>
      <c r="P31" s="31" t="s">
        <v>34</v>
      </c>
      <c r="W31" s="31" t="s">
        <v>35</v>
      </c>
      <c r="X31" s="31">
        <v>1</v>
      </c>
      <c r="Y31" s="31" t="s">
        <v>149</v>
      </c>
      <c r="Z31" s="31" t="s">
        <v>38</v>
      </c>
      <c r="AB31" s="37">
        <f ca="1">(ALL_PROD_RISK3[[#This Row],[MATURITY]]-TODAY())/365</f>
        <v>-0.43287671232876712</v>
      </c>
      <c r="AC31" s="38" t="e">
        <f>_xlfn.XLOOKUP(ALL_PROD_RISK3[[#This Row],[Rank]],[1]!RANKtbl[Rank],[1]!RANKtbl[STEPS])</f>
        <v>#REF!</v>
      </c>
      <c r="AD31" s="38">
        <f>IF(ALL_PROD_RISK3[[#This Row],[RATING]]="AAA",-7,)</f>
        <v>0</v>
      </c>
      <c r="AE31" s="38"/>
      <c r="AF31" s="38"/>
      <c r="AG31" s="38"/>
      <c r="AH31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31" s="39" t="e">
        <f>IF(ALL_PROD_RISK3[[#This Row],[C_INDEX]]&lt;1,"AAA",_xlfn.XLOOKUP(ALL_PROD_RISK3[[#This Row],[C_INDEX]],[1]!CS_RATING[INDEX],[1]!CS_RATING[RATING]))</f>
        <v>#REF!</v>
      </c>
      <c r="AJ31" s="21" t="e" cm="1">
        <f t="array" aca="1" ref="AJ31" ca="1">_xll.qlInterpolation2DInterpolate([1]CS_Interplation_act!$E$15,ALL_PROD_RISK3[[#This Row],[TtM]],ALL_PROD_RISK3[[#This Row],[C_INDEX]],TRUE,[1]CS_Interplation_act!E44)</f>
        <v>#VALUE!</v>
      </c>
    </row>
    <row r="32" spans="1:36" x14ac:dyDescent="0.2">
      <c r="A32" s="31">
        <v>1</v>
      </c>
      <c r="B32" s="31">
        <v>283350</v>
      </c>
      <c r="C32" s="31" t="s">
        <v>260</v>
      </c>
      <c r="D32" s="31" t="s">
        <v>32</v>
      </c>
      <c r="E32" s="31" t="s">
        <v>70</v>
      </c>
      <c r="F32" s="31" t="s">
        <v>232</v>
      </c>
      <c r="G32" s="31" t="s">
        <v>33</v>
      </c>
      <c r="H32" s="40">
        <v>45191</v>
      </c>
      <c r="I32" s="40">
        <v>45192</v>
      </c>
      <c r="J32" s="32">
        <v>0</v>
      </c>
      <c r="K32" s="36"/>
      <c r="L32" s="31">
        <v>4</v>
      </c>
      <c r="M32" s="31" t="s">
        <v>71</v>
      </c>
      <c r="N32" s="31" t="s">
        <v>159</v>
      </c>
      <c r="O32" s="31" t="s">
        <v>163</v>
      </c>
      <c r="P32" s="31" t="s">
        <v>34</v>
      </c>
      <c r="W32" s="31" t="s">
        <v>35</v>
      </c>
      <c r="X32" s="31">
        <v>1</v>
      </c>
      <c r="Y32" s="31" t="s">
        <v>150</v>
      </c>
      <c r="Z32" s="31" t="s">
        <v>38</v>
      </c>
      <c r="AB32" s="37">
        <f ca="1">(ALL_PROD_RISK3[[#This Row],[MATURITY]]-TODAY())/365</f>
        <v>-0.43287671232876712</v>
      </c>
      <c r="AC32" s="38" t="e">
        <f>_xlfn.XLOOKUP(ALL_PROD_RISK3[[#This Row],[Rank]],[1]!RANKtbl[Rank],[1]!RANKtbl[STEPS])</f>
        <v>#REF!</v>
      </c>
      <c r="AD32" s="38">
        <f>IF(ALL_PROD_RISK3[[#This Row],[RATING]]="AAA",-7,)</f>
        <v>0</v>
      </c>
      <c r="AE32" s="38"/>
      <c r="AF32" s="38"/>
      <c r="AG32" s="38"/>
      <c r="AH32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32" s="39" t="e">
        <f>IF(ALL_PROD_RISK3[[#This Row],[C_INDEX]]&lt;1,"AAA",_xlfn.XLOOKUP(ALL_PROD_RISK3[[#This Row],[C_INDEX]],[1]!CS_RATING[INDEX],[1]!CS_RATING[RATING]))</f>
        <v>#REF!</v>
      </c>
      <c r="AJ32" s="21" t="e" cm="1">
        <f t="array" aca="1" ref="AJ32" ca="1">_xll.qlInterpolation2DInterpolate([1]CS_Interplation_act!$E$15,ALL_PROD_RISK3[[#This Row],[TtM]],ALL_PROD_RISK3[[#This Row],[C_INDEX]],TRUE,[1]CS_Interplation_act!E45)</f>
        <v>#VALUE!</v>
      </c>
    </row>
    <row r="33" spans="1:36" x14ac:dyDescent="0.2">
      <c r="A33" s="31">
        <v>1</v>
      </c>
      <c r="B33" s="31" t="s">
        <v>203</v>
      </c>
      <c r="C33" s="31" t="s">
        <v>204</v>
      </c>
      <c r="D33" s="31" t="s">
        <v>205</v>
      </c>
      <c r="E33" s="31" t="s">
        <v>42</v>
      </c>
      <c r="F33" s="31" t="s">
        <v>238</v>
      </c>
      <c r="G33" s="31" t="s">
        <v>33</v>
      </c>
      <c r="H33" s="40">
        <v>43088</v>
      </c>
      <c r="I33" s="40">
        <v>45645</v>
      </c>
      <c r="J33" s="32">
        <v>3.1E-2</v>
      </c>
      <c r="K33" s="36"/>
      <c r="L33" s="31">
        <v>4</v>
      </c>
      <c r="M33" s="31" t="s">
        <v>43</v>
      </c>
      <c r="N33" s="31" t="s">
        <v>159</v>
      </c>
      <c r="O33" s="31" t="s">
        <v>160</v>
      </c>
      <c r="P33" s="31" t="s">
        <v>191</v>
      </c>
      <c r="Q33" s="31">
        <v>1</v>
      </c>
      <c r="R33" s="31" t="s">
        <v>192</v>
      </c>
      <c r="S33" s="31">
        <v>6.0000000000000001E-3</v>
      </c>
      <c r="T33" s="31">
        <v>3.1E-2</v>
      </c>
      <c r="W33" s="31" t="s">
        <v>35</v>
      </c>
      <c r="X33" s="31">
        <v>1</v>
      </c>
      <c r="Y33" s="31" t="s">
        <v>150</v>
      </c>
      <c r="Z33" s="31" t="s">
        <v>38</v>
      </c>
      <c r="AB33" s="37">
        <f ca="1">(ALL_PROD_RISK3[[#This Row],[MATURITY]]-TODAY())/365</f>
        <v>0.80821917808219179</v>
      </c>
      <c r="AC33" s="38" t="e">
        <f>_xlfn.XLOOKUP(ALL_PROD_RISK3[[#This Row],[Rank]],[1]!RANKtbl[Rank],[1]!RANKtbl[STEPS])</f>
        <v>#REF!</v>
      </c>
      <c r="AD33" s="38">
        <f>IF(ALL_PROD_RISK3[[#This Row],[RATING]]="AAA",-7,)</f>
        <v>0</v>
      </c>
      <c r="AE33" s="38"/>
      <c r="AF33" s="38"/>
      <c r="AG33" s="38"/>
      <c r="AH33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33" s="39" t="e">
        <f>IF(ALL_PROD_RISK3[[#This Row],[C_INDEX]]&lt;1,"AAA",_xlfn.XLOOKUP(ALL_PROD_RISK3[[#This Row],[C_INDEX]],[1]!CS_RATING[INDEX],[1]!CS_RATING[RATING]))</f>
        <v>#REF!</v>
      </c>
      <c r="AJ33" s="21" t="e" cm="1">
        <f t="array" aca="1" ref="AJ33" ca="1">_xll.qlInterpolation2DInterpolate([1]CS_Interplation_act!$E$15,ALL_PROD_RISK3[[#This Row],[TtM]],ALL_PROD_RISK3[[#This Row],[C_INDEX]],TRUE,[1]CS_Interplation_act!E46)</f>
        <v>#VALUE!</v>
      </c>
    </row>
    <row r="34" spans="1:36" x14ac:dyDescent="0.2">
      <c r="A34" s="31">
        <v>1</v>
      </c>
      <c r="B34" s="31" t="s">
        <v>206</v>
      </c>
      <c r="C34" s="31" t="s">
        <v>207</v>
      </c>
      <c r="D34" s="31" t="s">
        <v>261</v>
      </c>
      <c r="E34" s="31" t="s">
        <v>72</v>
      </c>
      <c r="F34" s="31" t="s">
        <v>238</v>
      </c>
      <c r="G34" s="31" t="s">
        <v>33</v>
      </c>
      <c r="H34" s="40">
        <v>43817</v>
      </c>
      <c r="I34" s="40">
        <v>46018</v>
      </c>
      <c r="J34" s="32">
        <v>2.8320000000000001E-2</v>
      </c>
      <c r="K34" s="36"/>
      <c r="L34" s="31">
        <v>1</v>
      </c>
      <c r="M34" s="31" t="s">
        <v>73</v>
      </c>
      <c r="N34" s="31" t="s">
        <v>159</v>
      </c>
      <c r="O34" s="31" t="s">
        <v>160</v>
      </c>
      <c r="P34" s="31" t="s">
        <v>191</v>
      </c>
      <c r="Q34" s="31">
        <v>1</v>
      </c>
      <c r="R34" s="31" t="s">
        <v>192</v>
      </c>
      <c r="S34" s="31">
        <v>0</v>
      </c>
      <c r="T34" s="31">
        <v>1</v>
      </c>
      <c r="U34" s="31">
        <v>7.0000000000000001E-3</v>
      </c>
      <c r="W34" s="31" t="s">
        <v>35</v>
      </c>
      <c r="X34" s="31">
        <v>1</v>
      </c>
      <c r="Y34" s="31" t="s">
        <v>146</v>
      </c>
      <c r="Z34" s="31" t="s">
        <v>38</v>
      </c>
      <c r="AB34" s="37">
        <f ca="1">(ALL_PROD_RISK3[[#This Row],[MATURITY]]-TODAY())/365</f>
        <v>1.8301369863013699</v>
      </c>
      <c r="AC34" s="38" t="e">
        <f>_xlfn.XLOOKUP(ALL_PROD_RISK3[[#This Row],[Rank]],[1]!RANKtbl[Rank],[1]!RANKtbl[STEPS])</f>
        <v>#REF!</v>
      </c>
      <c r="AD34" s="38">
        <f>IF(ALL_PROD_RISK3[[#This Row],[RATING]]="AAA",-7,)</f>
        <v>0</v>
      </c>
      <c r="AE34" s="38"/>
      <c r="AF34" s="38"/>
      <c r="AG34" s="38"/>
      <c r="AH34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34" s="39" t="e">
        <f>IF(ALL_PROD_RISK3[[#This Row],[C_INDEX]]&lt;1,"AAA",_xlfn.XLOOKUP(ALL_PROD_RISK3[[#This Row],[C_INDEX]],[1]!CS_RATING[INDEX],[1]!CS_RATING[RATING]))</f>
        <v>#REF!</v>
      </c>
      <c r="AJ34" s="21" t="e" cm="1">
        <f t="array" aca="1" ref="AJ34" ca="1">_xll.qlInterpolation2DInterpolate([1]CS_Interplation_act!$E$15,ALL_PROD_RISK3[[#This Row],[TtM]],ALL_PROD_RISK3[[#This Row],[C_INDEX]],TRUE,[1]CS_Interplation_act!E47)</f>
        <v>#VALUE!</v>
      </c>
    </row>
    <row r="35" spans="1:36" x14ac:dyDescent="0.2">
      <c r="A35" s="31">
        <v>1</v>
      </c>
      <c r="B35" s="31" t="s">
        <v>74</v>
      </c>
      <c r="C35" s="31" t="s">
        <v>75</v>
      </c>
      <c r="D35" s="31" t="s">
        <v>32</v>
      </c>
      <c r="E35" s="31" t="s">
        <v>49</v>
      </c>
      <c r="F35" s="31" t="s">
        <v>238</v>
      </c>
      <c r="G35" s="31" t="s">
        <v>33</v>
      </c>
      <c r="H35" s="40">
        <v>44551</v>
      </c>
      <c r="I35" s="40">
        <v>46363</v>
      </c>
      <c r="J35" s="32">
        <v>1.2999999999999999E-3</v>
      </c>
      <c r="K35" s="36"/>
      <c r="L35" s="31">
        <v>1</v>
      </c>
      <c r="M35" s="31" t="s">
        <v>50</v>
      </c>
      <c r="N35" s="31" t="s">
        <v>159</v>
      </c>
      <c r="O35" s="31" t="s">
        <v>160</v>
      </c>
      <c r="P35" s="31" t="s">
        <v>34</v>
      </c>
      <c r="W35" s="31" t="s">
        <v>35</v>
      </c>
      <c r="X35" s="31">
        <v>1</v>
      </c>
      <c r="Y35" s="31" t="s">
        <v>146</v>
      </c>
      <c r="Z35" s="31" t="s">
        <v>38</v>
      </c>
      <c r="AB35" s="37">
        <f ca="1">(ALL_PROD_RISK3[[#This Row],[MATURITY]]-TODAY())/365</f>
        <v>2.7753424657534245</v>
      </c>
      <c r="AC35" s="38" t="e">
        <f>_xlfn.XLOOKUP(ALL_PROD_RISK3[[#This Row],[Rank]],[1]!RANKtbl[Rank],[1]!RANKtbl[STEPS])</f>
        <v>#REF!</v>
      </c>
      <c r="AD35" s="38">
        <f>IF(ALL_PROD_RISK3[[#This Row],[RATING]]="AAA",-7,)</f>
        <v>0</v>
      </c>
      <c r="AE35" s="38"/>
      <c r="AF35" s="38"/>
      <c r="AG35" s="38"/>
      <c r="AH35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35" s="39" t="e">
        <f>IF(ALL_PROD_RISK3[[#This Row],[C_INDEX]]&lt;1,"AAA",_xlfn.XLOOKUP(ALL_PROD_RISK3[[#This Row],[C_INDEX]],[1]!CS_RATING[INDEX],[1]!CS_RATING[RATING]))</f>
        <v>#REF!</v>
      </c>
      <c r="AJ35" s="21" t="e" cm="1">
        <f t="array" aca="1" ref="AJ35" ca="1">_xll.qlInterpolation2DInterpolate([1]CS_Interplation_act!$E$15,ALL_PROD_RISK3[[#This Row],[TtM]],ALL_PROD_RISK3[[#This Row],[C_INDEX]],TRUE,[1]CS_Interplation_act!E48)</f>
        <v>#VALUE!</v>
      </c>
    </row>
    <row r="36" spans="1:36" x14ac:dyDescent="0.2">
      <c r="A36" s="31">
        <v>1</v>
      </c>
      <c r="B36" s="31" t="s">
        <v>76</v>
      </c>
      <c r="C36" s="31" t="s">
        <v>77</v>
      </c>
      <c r="D36" s="31" t="s">
        <v>32</v>
      </c>
      <c r="E36" s="31" t="s">
        <v>78</v>
      </c>
      <c r="F36" s="31" t="s">
        <v>238</v>
      </c>
      <c r="G36" s="31" t="s">
        <v>33</v>
      </c>
      <c r="H36" s="40">
        <v>44610</v>
      </c>
      <c r="I36" s="40">
        <v>46104</v>
      </c>
      <c r="J36" s="32">
        <v>8.7500000000000008E-3</v>
      </c>
      <c r="K36" s="36"/>
      <c r="L36" s="31">
        <v>1</v>
      </c>
      <c r="M36" s="31" t="s">
        <v>79</v>
      </c>
      <c r="N36" s="31" t="s">
        <v>159</v>
      </c>
      <c r="O36" s="31" t="s">
        <v>160</v>
      </c>
      <c r="P36" s="31" t="s">
        <v>34</v>
      </c>
      <c r="W36" s="31" t="s">
        <v>35</v>
      </c>
      <c r="X36" s="31">
        <v>1</v>
      </c>
      <c r="Y36" s="31" t="s">
        <v>150</v>
      </c>
      <c r="Z36" s="31" t="s">
        <v>38</v>
      </c>
      <c r="AB36" s="37">
        <f ca="1">(ALL_PROD_RISK3[[#This Row],[MATURITY]]-TODAY())/365</f>
        <v>2.0657534246575344</v>
      </c>
      <c r="AC36" s="38" t="e">
        <f>_xlfn.XLOOKUP(ALL_PROD_RISK3[[#This Row],[Rank]],[1]!RANKtbl[Rank],[1]!RANKtbl[STEPS])</f>
        <v>#REF!</v>
      </c>
      <c r="AD36" s="38">
        <f>IF(ALL_PROD_RISK3[[#This Row],[RATING]]="AAA",-7,)</f>
        <v>0</v>
      </c>
      <c r="AE36" s="38"/>
      <c r="AF36" s="38"/>
      <c r="AG36" s="38"/>
      <c r="AH36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36" s="39" t="e">
        <f>IF(ALL_PROD_RISK3[[#This Row],[C_INDEX]]&lt;1,"AAA",_xlfn.XLOOKUP(ALL_PROD_RISK3[[#This Row],[C_INDEX]],[1]!CS_RATING[INDEX],[1]!CS_RATING[RATING]))</f>
        <v>#REF!</v>
      </c>
      <c r="AJ36" s="21" t="e" cm="1">
        <f t="array" aca="1" ref="AJ36" ca="1">_xll.qlInterpolation2DInterpolate([1]CS_Interplation_act!$E$15,ALL_PROD_RISK3[[#This Row],[TtM]],ALL_PROD_RISK3[[#This Row],[C_INDEX]],TRUE,[1]CS_Interplation_act!E49)</f>
        <v>#VALUE!</v>
      </c>
    </row>
    <row r="37" spans="1:36" x14ac:dyDescent="0.2">
      <c r="A37" s="31">
        <v>1</v>
      </c>
      <c r="B37" s="31" t="s">
        <v>80</v>
      </c>
      <c r="C37" s="31" t="s">
        <v>81</v>
      </c>
      <c r="D37" s="31" t="s">
        <v>32</v>
      </c>
      <c r="E37" s="31" t="s">
        <v>82</v>
      </c>
      <c r="F37" s="31" t="s">
        <v>238</v>
      </c>
      <c r="G37" s="31" t="s">
        <v>33</v>
      </c>
      <c r="H37" s="40">
        <v>44613</v>
      </c>
      <c r="I37" s="40">
        <v>46436</v>
      </c>
      <c r="J37" s="32">
        <v>3.7499999999999999E-3</v>
      </c>
      <c r="K37" s="36"/>
      <c r="L37" s="31">
        <v>1</v>
      </c>
      <c r="M37" s="31" t="s">
        <v>83</v>
      </c>
      <c r="N37" s="31" t="s">
        <v>159</v>
      </c>
      <c r="O37" s="31" t="s">
        <v>161</v>
      </c>
      <c r="P37" s="31" t="s">
        <v>34</v>
      </c>
      <c r="W37" s="31" t="s">
        <v>35</v>
      </c>
      <c r="X37" s="31">
        <v>1</v>
      </c>
      <c r="Y37" s="31" t="s">
        <v>151</v>
      </c>
      <c r="Z37" s="31" t="s">
        <v>38</v>
      </c>
      <c r="AB37" s="37">
        <f ca="1">(ALL_PROD_RISK3[[#This Row],[MATURITY]]-TODAY())/365</f>
        <v>2.9753424657534246</v>
      </c>
      <c r="AC37" s="38" t="e">
        <f>_xlfn.XLOOKUP(ALL_PROD_RISK3[[#This Row],[Rank]],[1]!RANKtbl[Rank],[1]!RANKtbl[STEPS])</f>
        <v>#REF!</v>
      </c>
      <c r="AD37" s="38">
        <f>IF(ALL_PROD_RISK3[[#This Row],[RATING]]="AAA",-7,)</f>
        <v>0</v>
      </c>
      <c r="AE37" s="38"/>
      <c r="AF37" s="38"/>
      <c r="AG37" s="38"/>
      <c r="AH37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37" s="39" t="e">
        <f>IF(ALL_PROD_RISK3[[#This Row],[C_INDEX]]&lt;1,"AAA",_xlfn.XLOOKUP(ALL_PROD_RISK3[[#This Row],[C_INDEX]],[1]!CS_RATING[INDEX],[1]!CS_RATING[RATING]))</f>
        <v>#REF!</v>
      </c>
      <c r="AJ37" s="21" t="e" cm="1">
        <f t="array" aca="1" ref="AJ37" ca="1">_xll.qlInterpolation2DInterpolate([1]CS_Interplation_act!$E$15,ALL_PROD_RISK3[[#This Row],[TtM]],ALL_PROD_RISK3[[#This Row],[C_INDEX]],TRUE,[1]CS_Interplation_act!E50)</f>
        <v>#VALUE!</v>
      </c>
    </row>
    <row r="38" spans="1:36" x14ac:dyDescent="0.2">
      <c r="A38" s="31">
        <v>1</v>
      </c>
      <c r="B38" s="31" t="s">
        <v>84</v>
      </c>
      <c r="C38" s="31" t="s">
        <v>85</v>
      </c>
      <c r="D38" s="31" t="s">
        <v>32</v>
      </c>
      <c r="E38" s="31" t="s">
        <v>82</v>
      </c>
      <c r="F38" s="31" t="s">
        <v>238</v>
      </c>
      <c r="G38" s="31" t="s">
        <v>33</v>
      </c>
      <c r="H38" s="40">
        <v>44613</v>
      </c>
      <c r="I38" s="40">
        <v>46955</v>
      </c>
      <c r="J38" s="32">
        <v>2.5000000000000001E-3</v>
      </c>
      <c r="K38" s="36"/>
      <c r="L38" s="31">
        <v>2</v>
      </c>
      <c r="M38" s="31" t="s">
        <v>83</v>
      </c>
      <c r="N38" s="31" t="s">
        <v>159</v>
      </c>
      <c r="O38" s="31" t="s">
        <v>161</v>
      </c>
      <c r="P38" s="31" t="s">
        <v>34</v>
      </c>
      <c r="W38" s="31" t="s">
        <v>35</v>
      </c>
      <c r="X38" s="31">
        <v>1</v>
      </c>
      <c r="Y38" s="31" t="s">
        <v>151</v>
      </c>
      <c r="Z38" s="31" t="s">
        <v>38</v>
      </c>
      <c r="AB38" s="37">
        <f ca="1">(ALL_PROD_RISK3[[#This Row],[MATURITY]]-TODAY())/365</f>
        <v>4.397260273972603</v>
      </c>
      <c r="AC38" s="38" t="e">
        <f>_xlfn.XLOOKUP(ALL_PROD_RISK3[[#This Row],[Rank]],[1]!RANKtbl[Rank],[1]!RANKtbl[STEPS])</f>
        <v>#REF!</v>
      </c>
      <c r="AD38" s="38">
        <f>IF(ALL_PROD_RISK3[[#This Row],[RATING]]="AAA",-7,)</f>
        <v>0</v>
      </c>
      <c r="AE38" s="38"/>
      <c r="AF38" s="38"/>
      <c r="AG38" s="38"/>
      <c r="AH38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38" s="39" t="e">
        <f>IF(ALL_PROD_RISK3[[#This Row],[C_INDEX]]&lt;1,"AAA",_xlfn.XLOOKUP(ALL_PROD_RISK3[[#This Row],[C_INDEX]],[1]!CS_RATING[INDEX],[1]!CS_RATING[RATING]))</f>
        <v>#REF!</v>
      </c>
      <c r="AJ38" s="21" t="e" cm="1">
        <f t="array" aca="1" ref="AJ38" ca="1">_xll.qlInterpolation2DInterpolate([1]CS_Interplation_act!$E$15,ALL_PROD_RISK3[[#This Row],[TtM]],ALL_PROD_RISK3[[#This Row],[C_INDEX]],TRUE,[1]CS_Interplation_act!E51)</f>
        <v>#VALUE!</v>
      </c>
    </row>
    <row r="39" spans="1:36" x14ac:dyDescent="0.2">
      <c r="A39" s="31">
        <v>1</v>
      </c>
      <c r="B39" s="31" t="s">
        <v>86</v>
      </c>
      <c r="C39" s="31" t="s">
        <v>87</v>
      </c>
      <c r="D39" s="31" t="s">
        <v>32</v>
      </c>
      <c r="E39" s="31" t="s">
        <v>88</v>
      </c>
      <c r="F39" s="31" t="s">
        <v>238</v>
      </c>
      <c r="G39" s="31" t="s">
        <v>33</v>
      </c>
      <c r="H39" s="40">
        <v>44627</v>
      </c>
      <c r="I39" s="40">
        <v>46631</v>
      </c>
      <c r="J39" s="32">
        <v>3.7499999999999999E-3</v>
      </c>
      <c r="K39" s="36" t="s">
        <v>262</v>
      </c>
      <c r="L39" s="31">
        <v>1</v>
      </c>
      <c r="M39" s="31" t="s">
        <v>89</v>
      </c>
      <c r="N39" s="31" t="s">
        <v>159</v>
      </c>
      <c r="O39" s="31" t="s">
        <v>161</v>
      </c>
      <c r="P39" s="31" t="s">
        <v>34</v>
      </c>
      <c r="W39" s="31" t="s">
        <v>35</v>
      </c>
      <c r="X39" s="31">
        <v>1</v>
      </c>
      <c r="Y39" s="31" t="s">
        <v>147</v>
      </c>
      <c r="Z39" s="31" t="s">
        <v>38</v>
      </c>
      <c r="AB39" s="37">
        <f ca="1">(ALL_PROD_RISK3[[#This Row],[MATURITY]]-TODAY())/365</f>
        <v>3.5095890410958903</v>
      </c>
      <c r="AC39" s="38">
        <v>0</v>
      </c>
      <c r="AD39" s="38">
        <v>0</v>
      </c>
      <c r="AE39" s="38"/>
      <c r="AF39" s="38"/>
      <c r="AG39" s="38"/>
      <c r="AH39" s="38">
        <v>7</v>
      </c>
      <c r="AI39" s="39" t="s">
        <v>147</v>
      </c>
      <c r="AJ39" s="21">
        <v>113.51253495920908</v>
      </c>
    </row>
    <row r="40" spans="1:36" x14ac:dyDescent="0.2">
      <c r="A40" s="31">
        <v>1</v>
      </c>
      <c r="B40" s="31" t="s">
        <v>90</v>
      </c>
      <c r="C40" s="31" t="s">
        <v>91</v>
      </c>
      <c r="D40" s="31" t="s">
        <v>32</v>
      </c>
      <c r="E40" s="31" t="s">
        <v>92</v>
      </c>
      <c r="F40" s="31" t="s">
        <v>238</v>
      </c>
      <c r="G40" s="31" t="s">
        <v>33</v>
      </c>
      <c r="H40" s="40">
        <v>44627</v>
      </c>
      <c r="I40" s="40">
        <v>46407</v>
      </c>
      <c r="J40" s="32">
        <v>1.6250000000000001E-2</v>
      </c>
      <c r="K40" s="36"/>
      <c r="L40" s="31">
        <v>1</v>
      </c>
      <c r="M40" s="31" t="s">
        <v>93</v>
      </c>
      <c r="N40" s="31" t="s">
        <v>159</v>
      </c>
      <c r="O40" s="31" t="s">
        <v>161</v>
      </c>
      <c r="P40" s="31" t="s">
        <v>34</v>
      </c>
      <c r="W40" s="31" t="s">
        <v>35</v>
      </c>
      <c r="X40" s="31">
        <v>1</v>
      </c>
      <c r="Y40" s="31" t="s">
        <v>147</v>
      </c>
      <c r="Z40" s="31" t="s">
        <v>94</v>
      </c>
      <c r="AB40" s="37">
        <f ca="1">(ALL_PROD_RISK3[[#This Row],[MATURITY]]-TODAY())/365</f>
        <v>2.8958904109589043</v>
      </c>
      <c r="AC40" s="38" t="e">
        <f>_xlfn.XLOOKUP(ALL_PROD_RISK3[[#This Row],[Rank]],[1]!RANKtbl[Rank],[1]!RANKtbl[STEPS])</f>
        <v>#REF!</v>
      </c>
      <c r="AD40" s="38">
        <f>IF(ALL_PROD_RISK3[[#This Row],[RATING]]="AAA",-7,)</f>
        <v>0</v>
      </c>
      <c r="AE40" s="38"/>
      <c r="AF40" s="38"/>
      <c r="AG40" s="38"/>
      <c r="AH40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40" s="39" t="e">
        <f>IF(ALL_PROD_RISK3[[#This Row],[C_INDEX]]&lt;1,"AAA",_xlfn.XLOOKUP(ALL_PROD_RISK3[[#This Row],[C_INDEX]],[1]!CS_RATING[INDEX],[1]!CS_RATING[RATING]))</f>
        <v>#REF!</v>
      </c>
      <c r="AJ40" s="21" t="e" cm="1">
        <f t="array" aca="1" ref="AJ40" ca="1">_xll.qlInterpolation2DInterpolate([1]CS_Interplation_act!$E$15,ALL_PROD_RISK3[[#This Row],[TtM]],ALL_PROD_RISK3[[#This Row],[C_INDEX]],TRUE,[1]CS_Interplation_act!E53)</f>
        <v>#VALUE!</v>
      </c>
    </row>
    <row r="41" spans="1:36" x14ac:dyDescent="0.2">
      <c r="A41" s="31">
        <v>1</v>
      </c>
      <c r="B41" s="31" t="s">
        <v>95</v>
      </c>
      <c r="C41" s="31" t="s">
        <v>96</v>
      </c>
      <c r="D41" s="31" t="s">
        <v>32</v>
      </c>
      <c r="E41" s="31" t="s">
        <v>97</v>
      </c>
      <c r="F41" s="31" t="s">
        <v>238</v>
      </c>
      <c r="G41" s="31" t="s">
        <v>33</v>
      </c>
      <c r="H41" s="40">
        <v>44649</v>
      </c>
      <c r="I41" s="40">
        <v>46652</v>
      </c>
      <c r="J41" s="32">
        <v>0</v>
      </c>
      <c r="K41" s="36"/>
      <c r="L41" s="31">
        <v>1</v>
      </c>
      <c r="M41" s="31" t="s">
        <v>98</v>
      </c>
      <c r="N41" s="31" t="s">
        <v>159</v>
      </c>
      <c r="O41" s="31" t="s">
        <v>161</v>
      </c>
      <c r="P41" s="31" t="s">
        <v>34</v>
      </c>
      <c r="W41" s="31" t="s">
        <v>35</v>
      </c>
      <c r="X41" s="31">
        <v>1</v>
      </c>
      <c r="Y41" s="31" t="s">
        <v>152</v>
      </c>
      <c r="Z41" s="31" t="s">
        <v>38</v>
      </c>
      <c r="AB41" s="37">
        <f ca="1">(ALL_PROD_RISK3[[#This Row],[MATURITY]]-TODAY())/365</f>
        <v>3.5671232876712327</v>
      </c>
      <c r="AC41" s="38" t="e">
        <f>_xlfn.XLOOKUP(ALL_PROD_RISK3[[#This Row],[Rank]],[1]!RANKtbl[Rank],[1]!RANKtbl[STEPS])</f>
        <v>#REF!</v>
      </c>
      <c r="AD41" s="38">
        <f>IF(ALL_PROD_RISK3[[#This Row],[RATING]]="AAA",-7,)</f>
        <v>-7</v>
      </c>
      <c r="AE41" s="38"/>
      <c r="AF41" s="38"/>
      <c r="AG41" s="38"/>
      <c r="AH41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41" s="39" t="e">
        <f>IF(ALL_PROD_RISK3[[#This Row],[C_INDEX]]&lt;1,"AAA",_xlfn.XLOOKUP(ALL_PROD_RISK3[[#This Row],[C_INDEX]],[1]!CS_RATING[INDEX],[1]!CS_RATING[RATING]))</f>
        <v>#REF!</v>
      </c>
      <c r="AJ41" s="21" t="e" cm="1">
        <f t="array" aca="1" ref="AJ41" ca="1">_xll.qlInterpolation2DInterpolate([1]CS_Interplation_act!$E$15,ALL_PROD_RISK3[[#This Row],[TtM]],ALL_PROD_RISK3[[#This Row],[C_INDEX]],TRUE,[1]CS_Interplation_act!E54)</f>
        <v>#VALUE!</v>
      </c>
    </row>
    <row r="42" spans="1:36" x14ac:dyDescent="0.2">
      <c r="A42" s="31">
        <v>1</v>
      </c>
      <c r="B42" s="31" t="s">
        <v>99</v>
      </c>
      <c r="C42" s="31" t="s">
        <v>100</v>
      </c>
      <c r="D42" s="31" t="s">
        <v>32</v>
      </c>
      <c r="E42" s="31" t="s">
        <v>101</v>
      </c>
      <c r="F42" s="31" t="s">
        <v>238</v>
      </c>
      <c r="G42" s="31" t="s">
        <v>33</v>
      </c>
      <c r="H42" s="40">
        <v>44649</v>
      </c>
      <c r="I42" s="40">
        <v>46703</v>
      </c>
      <c r="J42" s="32">
        <v>1E-4</v>
      </c>
      <c r="K42" s="36"/>
      <c r="L42" s="31">
        <v>1</v>
      </c>
      <c r="M42" s="31" t="s">
        <v>102</v>
      </c>
      <c r="N42" s="31" t="s">
        <v>159</v>
      </c>
      <c r="O42" s="31" t="s">
        <v>161</v>
      </c>
      <c r="P42" s="31" t="s">
        <v>34</v>
      </c>
      <c r="W42" s="31" t="s">
        <v>35</v>
      </c>
      <c r="X42" s="31">
        <v>1</v>
      </c>
      <c r="Y42" s="31" t="s">
        <v>152</v>
      </c>
      <c r="Z42" s="31" t="s">
        <v>38</v>
      </c>
      <c r="AB42" s="37">
        <f ca="1">(ALL_PROD_RISK3[[#This Row],[MATURITY]]-TODAY())/365</f>
        <v>3.7068493150684931</v>
      </c>
      <c r="AC42" s="38" t="e">
        <f>_xlfn.XLOOKUP(ALL_PROD_RISK3[[#This Row],[Rank]],[1]!RANKtbl[Rank],[1]!RANKtbl[STEPS])</f>
        <v>#REF!</v>
      </c>
      <c r="AD42" s="38">
        <f>IF(ALL_PROD_RISK3[[#This Row],[RATING]]="AAA",-7,)</f>
        <v>-7</v>
      </c>
      <c r="AE42" s="38"/>
      <c r="AF42" s="38"/>
      <c r="AG42" s="38"/>
      <c r="AH42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42" s="39" t="e">
        <f>IF(ALL_PROD_RISK3[[#This Row],[C_INDEX]]&lt;1,"AAA",_xlfn.XLOOKUP(ALL_PROD_RISK3[[#This Row],[C_INDEX]],[1]!CS_RATING[INDEX],[1]!CS_RATING[RATING]))</f>
        <v>#REF!</v>
      </c>
      <c r="AJ42" s="21" t="e" cm="1">
        <f t="array" aca="1" ref="AJ42" ca="1">_xll.qlInterpolation2DInterpolate([1]CS_Interplation_act!$E$15,ALL_PROD_RISK3[[#This Row],[TtM]],ALL_PROD_RISK3[[#This Row],[C_INDEX]],TRUE,[1]CS_Interplation_act!E55)</f>
        <v>#VALUE!</v>
      </c>
    </row>
    <row r="43" spans="1:36" x14ac:dyDescent="0.2">
      <c r="A43" s="31">
        <v>1</v>
      </c>
      <c r="B43" s="31" t="s">
        <v>103</v>
      </c>
      <c r="C43" s="31" t="s">
        <v>104</v>
      </c>
      <c r="D43" s="31" t="s">
        <v>32</v>
      </c>
      <c r="E43" s="31" t="s">
        <v>105</v>
      </c>
      <c r="F43" s="31" t="s">
        <v>238</v>
      </c>
      <c r="G43" s="31" t="s">
        <v>33</v>
      </c>
      <c r="H43" s="40">
        <v>44649</v>
      </c>
      <c r="I43" s="40">
        <v>46793</v>
      </c>
      <c r="J43" s="32">
        <v>1.25E-3</v>
      </c>
      <c r="K43" s="36"/>
      <c r="L43" s="31">
        <v>1</v>
      </c>
      <c r="M43" s="31" t="s">
        <v>106</v>
      </c>
      <c r="N43" s="31" t="s">
        <v>159</v>
      </c>
      <c r="O43" s="31" t="s">
        <v>161</v>
      </c>
      <c r="P43" s="31" t="s">
        <v>34</v>
      </c>
      <c r="W43" s="31" t="s">
        <v>35</v>
      </c>
      <c r="X43" s="31">
        <v>1</v>
      </c>
      <c r="Y43" s="31" t="s">
        <v>147</v>
      </c>
      <c r="Z43" s="31" t="s">
        <v>38</v>
      </c>
      <c r="AB43" s="37">
        <f ca="1">(ALL_PROD_RISK3[[#This Row],[MATURITY]]-TODAY())/365</f>
        <v>3.9534246575342467</v>
      </c>
      <c r="AC43" s="38" t="e">
        <f>_xlfn.XLOOKUP(ALL_PROD_RISK3[[#This Row],[Rank]],[1]!RANKtbl[Rank],[1]!RANKtbl[STEPS])</f>
        <v>#REF!</v>
      </c>
      <c r="AD43" s="38">
        <f>IF(ALL_PROD_RISK3[[#This Row],[RATING]]="AAA",-7,)</f>
        <v>0</v>
      </c>
      <c r="AE43" s="38"/>
      <c r="AF43" s="38"/>
      <c r="AG43" s="38"/>
      <c r="AH43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43" s="39" t="e">
        <f>IF(ALL_PROD_RISK3[[#This Row],[C_INDEX]]&lt;1,"AAA",_xlfn.XLOOKUP(ALL_PROD_RISK3[[#This Row],[C_INDEX]],[1]!CS_RATING[INDEX],[1]!CS_RATING[RATING]))</f>
        <v>#REF!</v>
      </c>
      <c r="AJ43" s="21" t="e" cm="1">
        <f t="array" aca="1" ref="AJ43" ca="1">_xll.qlInterpolation2DInterpolate([1]CS_Interplation_act!$E$15,ALL_PROD_RISK3[[#This Row],[TtM]],ALL_PROD_RISK3[[#This Row],[C_INDEX]],TRUE,[1]CS_Interplation_act!E56)</f>
        <v>#VALUE!</v>
      </c>
    </row>
    <row r="44" spans="1:36" x14ac:dyDescent="0.2">
      <c r="A44" s="31">
        <v>1</v>
      </c>
      <c r="B44" s="31" t="s">
        <v>107</v>
      </c>
      <c r="C44" s="31" t="s">
        <v>108</v>
      </c>
      <c r="D44" s="31" t="s">
        <v>32</v>
      </c>
      <c r="E44" s="31" t="s">
        <v>109</v>
      </c>
      <c r="F44" s="31" t="s">
        <v>238</v>
      </c>
      <c r="G44" s="31" t="s">
        <v>33</v>
      </c>
      <c r="H44" s="40">
        <v>44680</v>
      </c>
      <c r="I44" s="40">
        <v>46421</v>
      </c>
      <c r="J44" s="32">
        <v>1.375E-2</v>
      </c>
      <c r="K44" s="36"/>
      <c r="L44" s="31">
        <v>1</v>
      </c>
      <c r="M44" s="31" t="s">
        <v>110</v>
      </c>
      <c r="N44" s="31" t="s">
        <v>159</v>
      </c>
      <c r="O44" s="31" t="s">
        <v>162</v>
      </c>
      <c r="P44" s="31" t="s">
        <v>34</v>
      </c>
      <c r="W44" s="31" t="s">
        <v>35</v>
      </c>
      <c r="X44" s="31">
        <v>1</v>
      </c>
      <c r="Y44" s="31" t="s">
        <v>146</v>
      </c>
      <c r="Z44" s="31" t="s">
        <v>38</v>
      </c>
      <c r="AB44" s="37">
        <f ca="1">(ALL_PROD_RISK3[[#This Row],[MATURITY]]-TODAY())/365</f>
        <v>2.9342465753424656</v>
      </c>
      <c r="AC44" s="38" t="e">
        <f>_xlfn.XLOOKUP(ALL_PROD_RISK3[[#This Row],[Rank]],[1]!RANKtbl[Rank],[1]!RANKtbl[STEPS])</f>
        <v>#REF!</v>
      </c>
      <c r="AD44" s="38">
        <f>IF(ALL_PROD_RISK3[[#This Row],[RATING]]="AAA",-7,)</f>
        <v>0</v>
      </c>
      <c r="AE44" s="38"/>
      <c r="AF44" s="38"/>
      <c r="AG44" s="38"/>
      <c r="AH44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44" s="39" t="e">
        <f>IF(ALL_PROD_RISK3[[#This Row],[C_INDEX]]&lt;1,"AAA",_xlfn.XLOOKUP(ALL_PROD_RISK3[[#This Row],[C_INDEX]],[1]!CS_RATING[INDEX],[1]!CS_RATING[RATING]))</f>
        <v>#REF!</v>
      </c>
      <c r="AJ44" s="21" t="e" cm="1">
        <f t="array" aca="1" ref="AJ44" ca="1">_xll.qlInterpolation2DInterpolate([1]CS_Interplation_act!$E$15,ALL_PROD_RISK3[[#This Row],[TtM]],ALL_PROD_RISK3[[#This Row],[C_INDEX]],TRUE,[1]CS_Interplation_act!E57)</f>
        <v>#VALUE!</v>
      </c>
    </row>
    <row r="45" spans="1:36" x14ac:dyDescent="0.2">
      <c r="A45" s="31">
        <v>1</v>
      </c>
      <c r="B45" s="31" t="s">
        <v>209</v>
      </c>
      <c r="C45" s="31" t="s">
        <v>210</v>
      </c>
      <c r="D45" s="31" t="s">
        <v>211</v>
      </c>
      <c r="E45" s="31" t="s">
        <v>92</v>
      </c>
      <c r="F45" s="31" t="s">
        <v>238</v>
      </c>
      <c r="G45" s="31" t="s">
        <v>33</v>
      </c>
      <c r="H45" s="40">
        <v>43994</v>
      </c>
      <c r="I45" s="40">
        <v>46183</v>
      </c>
      <c r="J45" s="32">
        <v>1.375E-2</v>
      </c>
      <c r="K45" s="36"/>
      <c r="L45" s="31">
        <v>1</v>
      </c>
      <c r="M45" s="31" t="s">
        <v>93</v>
      </c>
      <c r="N45" s="31" t="s">
        <v>159</v>
      </c>
      <c r="O45" s="31" t="s">
        <v>161</v>
      </c>
      <c r="P45" s="31" t="s">
        <v>191</v>
      </c>
      <c r="Q45" s="31">
        <v>1</v>
      </c>
      <c r="R45" s="31" t="s">
        <v>192</v>
      </c>
      <c r="S45" s="31">
        <v>0</v>
      </c>
      <c r="T45" s="31">
        <v>1</v>
      </c>
      <c r="U45" s="31">
        <v>1.67E-2</v>
      </c>
      <c r="W45" s="31" t="s">
        <v>212</v>
      </c>
      <c r="X45" s="31">
        <v>1</v>
      </c>
      <c r="Y45" s="31" t="s">
        <v>147</v>
      </c>
      <c r="Z45" s="31" t="s">
        <v>94</v>
      </c>
      <c r="AB45" s="37">
        <f ca="1">(ALL_PROD_RISK3[[#This Row],[MATURITY]]-TODAY())/365</f>
        <v>2.2821917808219179</v>
      </c>
      <c r="AC45" s="38" t="e">
        <f>_xlfn.XLOOKUP(ALL_PROD_RISK3[[#This Row],[Rank]],[1]!RANKtbl[Rank],[1]!RANKtbl[STEPS])</f>
        <v>#REF!</v>
      </c>
      <c r="AD45" s="38">
        <f>IF(ALL_PROD_RISK3[[#This Row],[RATING]]="AAA",-7,)</f>
        <v>0</v>
      </c>
      <c r="AE45" s="38"/>
      <c r="AF45" s="38"/>
      <c r="AG45" s="38"/>
      <c r="AH45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45" s="39" t="e">
        <f>IF(ALL_PROD_RISK3[[#This Row],[C_INDEX]]&lt;1,"AAA",_xlfn.XLOOKUP(ALL_PROD_RISK3[[#This Row],[C_INDEX]],[1]!CS_RATING[INDEX],[1]!CS_RATING[RATING]))</f>
        <v>#REF!</v>
      </c>
      <c r="AJ45" s="21" t="e" cm="1">
        <f t="array" aca="1" ref="AJ45" ca="1">_xll.qlInterpolation2DInterpolate([1]CS_Interplation_act!$E$15,ALL_PROD_RISK3[[#This Row],[TtM]],ALL_PROD_RISK3[[#This Row],[C_INDEX]],TRUE,[1]CS_Interplation_act!E58)</f>
        <v>#VALUE!</v>
      </c>
    </row>
    <row r="46" spans="1:36" x14ac:dyDescent="0.2">
      <c r="A46" s="31">
        <v>1</v>
      </c>
      <c r="B46" s="31" t="s">
        <v>111</v>
      </c>
      <c r="C46" s="31" t="s">
        <v>112</v>
      </c>
      <c r="D46" s="31" t="s">
        <v>32</v>
      </c>
      <c r="E46" s="31" t="s">
        <v>113</v>
      </c>
      <c r="F46" s="31" t="s">
        <v>238</v>
      </c>
      <c r="G46" s="31" t="s">
        <v>33</v>
      </c>
      <c r="H46" s="40">
        <v>44680</v>
      </c>
      <c r="I46" s="40">
        <v>45763</v>
      </c>
      <c r="J46" s="32">
        <v>0.01</v>
      </c>
      <c r="K46" s="36"/>
      <c r="L46" s="31">
        <v>1</v>
      </c>
      <c r="M46" s="31" t="s">
        <v>114</v>
      </c>
      <c r="N46" s="31" t="s">
        <v>159</v>
      </c>
      <c r="O46" s="31" t="s">
        <v>162</v>
      </c>
      <c r="P46" s="31" t="s">
        <v>34</v>
      </c>
      <c r="W46" s="31" t="s">
        <v>35</v>
      </c>
      <c r="X46" s="31">
        <v>1</v>
      </c>
      <c r="Y46" s="31" t="s">
        <v>150</v>
      </c>
      <c r="Z46" s="31" t="s">
        <v>38</v>
      </c>
      <c r="AB46" s="37">
        <f ca="1">(ALL_PROD_RISK3[[#This Row],[MATURITY]]-TODAY())/365</f>
        <v>1.1315068493150684</v>
      </c>
      <c r="AC46" s="38" t="e">
        <f>_xlfn.XLOOKUP(ALL_PROD_RISK3[[#This Row],[Rank]],[1]!RANKtbl[Rank],[1]!RANKtbl[STEPS])</f>
        <v>#REF!</v>
      </c>
      <c r="AD46" s="38">
        <f>IF(ALL_PROD_RISK3[[#This Row],[RATING]]="AAA",-7,)</f>
        <v>0</v>
      </c>
      <c r="AE46" s="38"/>
      <c r="AF46" s="38"/>
      <c r="AG46" s="38"/>
      <c r="AH46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46" s="39" t="e">
        <f>IF(ALL_PROD_RISK3[[#This Row],[C_INDEX]]&lt;1,"AAA",_xlfn.XLOOKUP(ALL_PROD_RISK3[[#This Row],[C_INDEX]],[1]!CS_RATING[INDEX],[1]!CS_RATING[RATING]))</f>
        <v>#REF!</v>
      </c>
      <c r="AJ46" s="21" t="e" cm="1">
        <f t="array" aca="1" ref="AJ46" ca="1">_xll.qlInterpolation2DInterpolate([1]CS_Interplation_act!$E$15,ALL_PROD_RISK3[[#This Row],[TtM]],ALL_PROD_RISK3[[#This Row],[C_INDEX]],TRUE,[1]CS_Interplation_act!E59)</f>
        <v>#VALUE!</v>
      </c>
    </row>
    <row r="47" spans="1:36" x14ac:dyDescent="0.2">
      <c r="A47" s="31">
        <v>1</v>
      </c>
      <c r="B47" s="31" t="s">
        <v>115</v>
      </c>
      <c r="C47" s="31" t="s">
        <v>116</v>
      </c>
      <c r="D47" s="31" t="s">
        <v>32</v>
      </c>
      <c r="E47" s="31" t="s">
        <v>117</v>
      </c>
      <c r="F47" s="31" t="s">
        <v>238</v>
      </c>
      <c r="G47" s="31" t="s">
        <v>33</v>
      </c>
      <c r="H47" s="40">
        <v>44676</v>
      </c>
      <c r="I47" s="40">
        <v>45761</v>
      </c>
      <c r="J47" s="32">
        <v>1.375E-2</v>
      </c>
      <c r="K47" s="36"/>
      <c r="L47" s="31">
        <v>1</v>
      </c>
      <c r="M47" s="31" t="s">
        <v>118</v>
      </c>
      <c r="N47" s="31" t="s">
        <v>159</v>
      </c>
      <c r="O47" s="31" t="s">
        <v>160</v>
      </c>
      <c r="P47" s="31" t="s">
        <v>34</v>
      </c>
      <c r="W47" s="31" t="s">
        <v>35</v>
      </c>
      <c r="X47" s="31">
        <v>1</v>
      </c>
      <c r="Y47" s="31" t="s">
        <v>150</v>
      </c>
      <c r="Z47" s="31" t="s">
        <v>38</v>
      </c>
      <c r="AB47" s="37">
        <f ca="1">(ALL_PROD_RISK3[[#This Row],[MATURITY]]-TODAY())/365</f>
        <v>1.1260273972602739</v>
      </c>
      <c r="AC47" s="38" t="e">
        <f>_xlfn.XLOOKUP(ALL_PROD_RISK3[[#This Row],[Rank]],[1]!RANKtbl[Rank],[1]!RANKtbl[STEPS])</f>
        <v>#REF!</v>
      </c>
      <c r="AD47" s="38">
        <f>IF(ALL_PROD_RISK3[[#This Row],[RATING]]="AAA",-7,)</f>
        <v>0</v>
      </c>
      <c r="AE47" s="38"/>
      <c r="AF47" s="38"/>
      <c r="AG47" s="38"/>
      <c r="AH47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47" s="39" t="e">
        <f>IF(ALL_PROD_RISK3[[#This Row],[C_INDEX]]&lt;1,"AAA",_xlfn.XLOOKUP(ALL_PROD_RISK3[[#This Row],[C_INDEX]],[1]!CS_RATING[INDEX],[1]!CS_RATING[RATING]))</f>
        <v>#REF!</v>
      </c>
      <c r="AJ47" s="21" t="e" cm="1">
        <f t="array" aca="1" ref="AJ47" ca="1">_xll.qlInterpolation2DInterpolate([1]CS_Interplation_act!$E$15,ALL_PROD_RISK3[[#This Row],[TtM]],ALL_PROD_RISK3[[#This Row],[C_INDEX]],TRUE,[1]CS_Interplation_act!E60)</f>
        <v>#VALUE!</v>
      </c>
    </row>
    <row r="48" spans="1:36" x14ac:dyDescent="0.2">
      <c r="A48" s="31">
        <v>1</v>
      </c>
      <c r="B48" s="31" t="s">
        <v>119</v>
      </c>
      <c r="C48" s="31" t="s">
        <v>120</v>
      </c>
      <c r="D48" s="31" t="s">
        <v>32</v>
      </c>
      <c r="E48" s="31" t="s">
        <v>39</v>
      </c>
      <c r="F48" s="31" t="s">
        <v>238</v>
      </c>
      <c r="G48" s="31" t="s">
        <v>33</v>
      </c>
      <c r="H48" s="40">
        <v>44705</v>
      </c>
      <c r="I48" s="40">
        <v>46568</v>
      </c>
      <c r="J48" s="32">
        <v>1.8749999999999999E-2</v>
      </c>
      <c r="K48" s="36"/>
      <c r="L48" s="31">
        <v>1</v>
      </c>
      <c r="M48" s="31" t="s">
        <v>40</v>
      </c>
      <c r="N48" s="31" t="s">
        <v>159</v>
      </c>
      <c r="O48" s="31" t="s">
        <v>160</v>
      </c>
      <c r="P48" s="31" t="s">
        <v>34</v>
      </c>
      <c r="W48" s="31" t="s">
        <v>35</v>
      </c>
      <c r="X48" s="31">
        <v>1</v>
      </c>
      <c r="Y48" s="31" t="s">
        <v>146</v>
      </c>
      <c r="Z48" s="31" t="s">
        <v>38</v>
      </c>
      <c r="AB48" s="37">
        <f ca="1">(ALL_PROD_RISK3[[#This Row],[MATURITY]]-TODAY())/365</f>
        <v>3.3369863013698629</v>
      </c>
      <c r="AC48" s="38" t="e">
        <f>_xlfn.XLOOKUP(ALL_PROD_RISK3[[#This Row],[Rank]],[1]!RANKtbl[Rank],[1]!RANKtbl[STEPS])</f>
        <v>#REF!</v>
      </c>
      <c r="AD48" s="38">
        <f>IF(ALL_PROD_RISK3[[#This Row],[RATING]]="AAA",-7,)</f>
        <v>0</v>
      </c>
      <c r="AE48" s="38"/>
      <c r="AF48" s="38"/>
      <c r="AG48" s="38"/>
      <c r="AH48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48" s="39" t="e">
        <f>IF(ALL_PROD_RISK3[[#This Row],[C_INDEX]]&lt;1,"AAA",_xlfn.XLOOKUP(ALL_PROD_RISK3[[#This Row],[C_INDEX]],[1]!CS_RATING[INDEX],[1]!CS_RATING[RATING]))</f>
        <v>#REF!</v>
      </c>
      <c r="AJ48" s="21" t="e" cm="1">
        <f t="array" aca="1" ref="AJ48" ca="1">_xll.qlInterpolation2DInterpolate([1]CS_Interplation_act!$E$15,ALL_PROD_RISK3[[#This Row],[TtM]],ALL_PROD_RISK3[[#This Row],[C_INDEX]],TRUE,[1]CS_Interplation_act!E61)</f>
        <v>#VALUE!</v>
      </c>
    </row>
    <row r="49" spans="1:36" x14ac:dyDescent="0.2">
      <c r="A49" s="31">
        <v>1</v>
      </c>
      <c r="B49" s="31" t="s">
        <v>121</v>
      </c>
      <c r="C49" s="31" t="s">
        <v>122</v>
      </c>
      <c r="D49" s="31" t="s">
        <v>32</v>
      </c>
      <c r="E49" s="31" t="s">
        <v>109</v>
      </c>
      <c r="F49" s="31" t="s">
        <v>238</v>
      </c>
      <c r="G49" s="31" t="s">
        <v>33</v>
      </c>
      <c r="H49" s="40">
        <v>44697</v>
      </c>
      <c r="I49" s="40">
        <v>45349</v>
      </c>
      <c r="J49" s="32">
        <v>6.2500000000000003E-3</v>
      </c>
      <c r="K49" s="36"/>
      <c r="L49" s="31">
        <v>1</v>
      </c>
      <c r="M49" s="31" t="s">
        <v>110</v>
      </c>
      <c r="N49" s="31" t="s">
        <v>159</v>
      </c>
      <c r="O49" s="31" t="s">
        <v>162</v>
      </c>
      <c r="P49" s="31" t="s">
        <v>34</v>
      </c>
      <c r="W49" s="31" t="s">
        <v>35</v>
      </c>
      <c r="X49" s="31">
        <v>1</v>
      </c>
      <c r="Y49" s="31" t="s">
        <v>146</v>
      </c>
      <c r="Z49" s="31" t="s">
        <v>38</v>
      </c>
      <c r="AB49" s="37">
        <f ca="1">(ALL_PROD_RISK3[[#This Row],[MATURITY]]-TODAY())/365</f>
        <v>-2.7397260273972603E-3</v>
      </c>
      <c r="AC49" s="38" t="e">
        <f>_xlfn.XLOOKUP(ALL_PROD_RISK3[[#This Row],[Rank]],[1]!RANKtbl[Rank],[1]!RANKtbl[STEPS])</f>
        <v>#REF!</v>
      </c>
      <c r="AD49" s="38">
        <f>IF(ALL_PROD_RISK3[[#This Row],[RATING]]="AAA",-7,)</f>
        <v>0</v>
      </c>
      <c r="AE49" s="38"/>
      <c r="AF49" s="38"/>
      <c r="AG49" s="38"/>
      <c r="AH49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49" s="39" t="e">
        <f>IF(ALL_PROD_RISK3[[#This Row],[C_INDEX]]&lt;1,"AAA",_xlfn.XLOOKUP(ALL_PROD_RISK3[[#This Row],[C_INDEX]],[1]!CS_RATING[INDEX],[1]!CS_RATING[RATING]))</f>
        <v>#REF!</v>
      </c>
      <c r="AJ49" s="21" t="e" cm="1">
        <f t="array" aca="1" ref="AJ49" ca="1">_xll.qlInterpolation2DInterpolate([1]CS_Interplation_act!$E$15,ALL_PROD_RISK3[[#This Row],[TtM]],ALL_PROD_RISK3[[#This Row],[C_INDEX]],TRUE,[1]CS_Interplation_act!E62)</f>
        <v>#VALUE!</v>
      </c>
    </row>
    <row r="50" spans="1:36" x14ac:dyDescent="0.2">
      <c r="A50" s="31">
        <v>1</v>
      </c>
      <c r="B50" s="31" t="s">
        <v>123</v>
      </c>
      <c r="C50" s="31" t="s">
        <v>124</v>
      </c>
      <c r="D50" s="31" t="s">
        <v>32</v>
      </c>
      <c r="E50" s="31" t="s">
        <v>125</v>
      </c>
      <c r="F50" s="31" t="s">
        <v>238</v>
      </c>
      <c r="G50" s="31" t="s">
        <v>33</v>
      </c>
      <c r="H50" s="40">
        <v>44714</v>
      </c>
      <c r="I50" s="40">
        <v>45838</v>
      </c>
      <c r="J50" s="32">
        <v>2.5000000000000001E-3</v>
      </c>
      <c r="K50" s="36"/>
      <c r="L50" s="31">
        <v>1</v>
      </c>
      <c r="M50" s="31" t="s">
        <v>126</v>
      </c>
      <c r="N50" s="31" t="s">
        <v>159</v>
      </c>
      <c r="O50" s="31" t="s">
        <v>161</v>
      </c>
      <c r="P50" s="31" t="s">
        <v>34</v>
      </c>
      <c r="W50" s="31" t="s">
        <v>35</v>
      </c>
      <c r="X50" s="31">
        <v>1</v>
      </c>
      <c r="Y50" s="31" t="s">
        <v>152</v>
      </c>
      <c r="Z50" s="31" t="s">
        <v>38</v>
      </c>
      <c r="AB50" s="37">
        <f ca="1">(ALL_PROD_RISK3[[#This Row],[MATURITY]]-TODAY())/365</f>
        <v>1.3369863013698631</v>
      </c>
      <c r="AC50" s="38" t="e">
        <f>_xlfn.XLOOKUP(ALL_PROD_RISK3[[#This Row],[Rank]],[1]!RANKtbl[Rank],[1]!RANKtbl[STEPS])</f>
        <v>#REF!</v>
      </c>
      <c r="AD50" s="38">
        <f>IF(ALL_PROD_RISK3[[#This Row],[RATING]]="AAA",-7,)</f>
        <v>-7</v>
      </c>
      <c r="AE50" s="38"/>
      <c r="AF50" s="38"/>
      <c r="AG50" s="38"/>
      <c r="AH50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50" s="39" t="e">
        <f>IF(ALL_PROD_RISK3[[#This Row],[C_INDEX]]&lt;1,"AAA",_xlfn.XLOOKUP(ALL_PROD_RISK3[[#This Row],[C_INDEX]],[1]!CS_RATING[INDEX],[1]!CS_RATING[RATING]))</f>
        <v>#REF!</v>
      </c>
      <c r="AJ50" s="21" t="e" cm="1">
        <f t="array" aca="1" ref="AJ50" ca="1">_xll.qlInterpolation2DInterpolate([1]CS_Interplation_act!$E$15,ALL_PROD_RISK3[[#This Row],[TtM]],ALL_PROD_RISK3[[#This Row],[C_INDEX]],TRUE,[1]CS_Interplation_act!E63)</f>
        <v>#VALUE!</v>
      </c>
    </row>
    <row r="51" spans="1:36" x14ac:dyDescent="0.2">
      <c r="A51" s="31">
        <v>1</v>
      </c>
      <c r="B51" s="31" t="s">
        <v>213</v>
      </c>
      <c r="C51" s="31" t="s">
        <v>214</v>
      </c>
      <c r="D51" s="31" t="s">
        <v>32</v>
      </c>
      <c r="E51" s="31" t="s">
        <v>39</v>
      </c>
      <c r="F51" s="31" t="s">
        <v>238</v>
      </c>
      <c r="G51" s="31" t="s">
        <v>33</v>
      </c>
      <c r="H51" s="40">
        <v>44739</v>
      </c>
      <c r="I51" s="40">
        <v>46568</v>
      </c>
      <c r="J51" s="32">
        <v>1.8749999999999999E-2</v>
      </c>
      <c r="K51" s="36"/>
      <c r="L51" s="31">
        <v>1</v>
      </c>
      <c r="M51" s="31" t="s">
        <v>40</v>
      </c>
      <c r="N51" s="31" t="s">
        <v>159</v>
      </c>
      <c r="O51" s="31" t="s">
        <v>160</v>
      </c>
      <c r="P51" s="31" t="s">
        <v>191</v>
      </c>
      <c r="Q51" s="31">
        <v>1</v>
      </c>
      <c r="R51" s="31" t="s">
        <v>192</v>
      </c>
      <c r="S51" s="31">
        <v>0</v>
      </c>
      <c r="T51" s="31">
        <v>1</v>
      </c>
      <c r="U51" s="31">
        <v>0</v>
      </c>
      <c r="W51" s="31" t="s">
        <v>212</v>
      </c>
      <c r="X51" s="31">
        <v>1</v>
      </c>
      <c r="Y51" s="31" t="s">
        <v>146</v>
      </c>
      <c r="Z51" s="31" t="s">
        <v>38</v>
      </c>
      <c r="AB51" s="37">
        <f ca="1">(ALL_PROD_RISK3[[#This Row],[MATURITY]]-TODAY())/365</f>
        <v>3.3369863013698629</v>
      </c>
      <c r="AC51" s="38" t="e">
        <f>_xlfn.XLOOKUP(ALL_PROD_RISK3[[#This Row],[Rank]],[1]!RANKtbl[Rank],[1]!RANKtbl[STEPS])</f>
        <v>#REF!</v>
      </c>
      <c r="AD51" s="38">
        <f>IF(ALL_PROD_RISK3[[#This Row],[RATING]]="AAA",-7,)</f>
        <v>0</v>
      </c>
      <c r="AE51" s="38"/>
      <c r="AF51" s="38"/>
      <c r="AG51" s="38"/>
      <c r="AH51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51" s="39" t="e">
        <f>IF(ALL_PROD_RISK3[[#This Row],[C_INDEX]]&lt;1,"AAA",_xlfn.XLOOKUP(ALL_PROD_RISK3[[#This Row],[C_INDEX]],[1]!CS_RATING[INDEX],[1]!CS_RATING[RATING]))</f>
        <v>#REF!</v>
      </c>
      <c r="AJ51" s="21" t="e" cm="1">
        <f t="array" aca="1" ref="AJ51" ca="1">_xll.qlInterpolation2DInterpolate([1]CS_Interplation_act!$E$15,ALL_PROD_RISK3[[#This Row],[TtM]],ALL_PROD_RISK3[[#This Row],[C_INDEX]],TRUE,[1]CS_Interplation_act!E64)</f>
        <v>#VALUE!</v>
      </c>
    </row>
    <row r="52" spans="1:36" x14ac:dyDescent="0.2">
      <c r="A52" s="31">
        <v>1</v>
      </c>
      <c r="B52" s="31" t="s">
        <v>127</v>
      </c>
      <c r="C52" s="31" t="s">
        <v>128</v>
      </c>
      <c r="D52" s="31" t="s">
        <v>32</v>
      </c>
      <c r="E52" s="31" t="s">
        <v>129</v>
      </c>
      <c r="F52" s="31" t="s">
        <v>238</v>
      </c>
      <c r="G52" s="31" t="s">
        <v>33</v>
      </c>
      <c r="H52" s="40">
        <v>44802</v>
      </c>
      <c r="I52" s="40">
        <v>46310</v>
      </c>
      <c r="J52" s="32">
        <v>1E-3</v>
      </c>
      <c r="K52" s="36"/>
      <c r="L52" s="31">
        <v>1</v>
      </c>
      <c r="M52" s="31" t="s">
        <v>130</v>
      </c>
      <c r="N52" s="31" t="s">
        <v>159</v>
      </c>
      <c r="O52" s="31" t="s">
        <v>163</v>
      </c>
      <c r="P52" s="31" t="s">
        <v>34</v>
      </c>
      <c r="W52" s="31" t="s">
        <v>35</v>
      </c>
      <c r="X52" s="31">
        <v>1</v>
      </c>
      <c r="Y52" s="31" t="s">
        <v>152</v>
      </c>
      <c r="Z52" s="31" t="s">
        <v>38</v>
      </c>
      <c r="AB52" s="37">
        <f ca="1">(ALL_PROD_RISK3[[#This Row],[MATURITY]]-TODAY())/365</f>
        <v>2.6301369863013697</v>
      </c>
      <c r="AC52" s="38" t="e">
        <f>_xlfn.XLOOKUP(ALL_PROD_RISK3[[#This Row],[Rank]],[1]!RANKtbl[Rank],[1]!RANKtbl[STEPS])</f>
        <v>#REF!</v>
      </c>
      <c r="AD52" s="38">
        <f>IF(ALL_PROD_RISK3[[#This Row],[RATING]]="AAA",-7,)</f>
        <v>-7</v>
      </c>
      <c r="AE52" s="38"/>
      <c r="AF52" s="38"/>
      <c r="AG52" s="38"/>
      <c r="AH52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52" s="39" t="e">
        <f>IF(ALL_PROD_RISK3[[#This Row],[C_INDEX]]&lt;1,"AAA",_xlfn.XLOOKUP(ALL_PROD_RISK3[[#This Row],[C_INDEX]],[1]!CS_RATING[INDEX],[1]!CS_RATING[RATING]))</f>
        <v>#REF!</v>
      </c>
      <c r="AJ52" s="21" t="e" cm="1">
        <f t="array" aca="1" ref="AJ52" ca="1">_xll.qlInterpolation2DInterpolate([1]CS_Interplation_act!$E$15,ALL_PROD_RISK3[[#This Row],[TtM]],ALL_PROD_RISK3[[#This Row],[C_INDEX]],TRUE,[1]CS_Interplation_act!E65)</f>
        <v>#VALUE!</v>
      </c>
    </row>
    <row r="53" spans="1:36" x14ac:dyDescent="0.2">
      <c r="A53" s="31">
        <v>1</v>
      </c>
      <c r="B53" s="31" t="s">
        <v>131</v>
      </c>
      <c r="C53" s="31" t="s">
        <v>132</v>
      </c>
      <c r="D53" s="31" t="s">
        <v>32</v>
      </c>
      <c r="E53" s="31" t="s">
        <v>39</v>
      </c>
      <c r="F53" s="31" t="s">
        <v>238</v>
      </c>
      <c r="G53" s="31" t="s">
        <v>33</v>
      </c>
      <c r="H53" s="40">
        <v>44825</v>
      </c>
      <c r="I53" s="40">
        <v>45921</v>
      </c>
      <c r="J53" s="32">
        <v>2.8750000000000001E-2</v>
      </c>
      <c r="K53" s="36"/>
      <c r="L53" s="31">
        <v>1</v>
      </c>
      <c r="M53" s="31" t="s">
        <v>40</v>
      </c>
      <c r="N53" s="31" t="s">
        <v>159</v>
      </c>
      <c r="O53" s="31" t="s">
        <v>160</v>
      </c>
      <c r="P53" s="31" t="s">
        <v>34</v>
      </c>
      <c r="W53" s="31" t="s">
        <v>35</v>
      </c>
      <c r="X53" s="31">
        <v>1</v>
      </c>
      <c r="Y53" s="31" t="s">
        <v>146</v>
      </c>
      <c r="Z53" s="31" t="s">
        <v>38</v>
      </c>
      <c r="AB53" s="37">
        <f ca="1">(ALL_PROD_RISK3[[#This Row],[MATURITY]]-TODAY())/365</f>
        <v>1.5643835616438355</v>
      </c>
      <c r="AC53" s="38" t="e">
        <f>_xlfn.XLOOKUP(ALL_PROD_RISK3[[#This Row],[Rank]],[1]!RANKtbl[Rank],[1]!RANKtbl[STEPS])</f>
        <v>#REF!</v>
      </c>
      <c r="AD53" s="38">
        <f>IF(ALL_PROD_RISK3[[#This Row],[RATING]]="AAA",-7,)</f>
        <v>0</v>
      </c>
      <c r="AE53" s="38"/>
      <c r="AF53" s="38"/>
      <c r="AG53" s="38"/>
      <c r="AH53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53" s="39" t="e">
        <f>IF(ALL_PROD_RISK3[[#This Row],[C_INDEX]]&lt;1,"AAA",_xlfn.XLOOKUP(ALL_PROD_RISK3[[#This Row],[C_INDEX]],[1]!CS_RATING[INDEX],[1]!CS_RATING[RATING]))</f>
        <v>#REF!</v>
      </c>
      <c r="AJ53" s="21" t="e" cm="1">
        <f t="array" aca="1" ref="AJ53" ca="1">_xll.qlInterpolation2DInterpolate([1]CS_Interplation_act!$E$15,ALL_PROD_RISK3[[#This Row],[TtM]],ALL_PROD_RISK3[[#This Row],[C_INDEX]],TRUE,[1]CS_Interplation_act!E66)</f>
        <v>#VALUE!</v>
      </c>
    </row>
    <row r="54" spans="1:36" x14ac:dyDescent="0.2">
      <c r="A54" s="31">
        <v>1</v>
      </c>
      <c r="B54" s="31" t="s">
        <v>135</v>
      </c>
      <c r="C54" s="31" t="s">
        <v>136</v>
      </c>
      <c r="D54" s="31" t="s">
        <v>32</v>
      </c>
      <c r="E54" s="31" t="s">
        <v>133</v>
      </c>
      <c r="F54" s="31" t="s">
        <v>238</v>
      </c>
      <c r="G54" s="31" t="s">
        <v>33</v>
      </c>
      <c r="H54" s="40">
        <v>44819</v>
      </c>
      <c r="I54" s="40">
        <v>46557</v>
      </c>
      <c r="J54" s="32">
        <v>6.2500000000000003E-3</v>
      </c>
      <c r="K54" s="36"/>
      <c r="L54" s="31">
        <v>1</v>
      </c>
      <c r="M54" s="31" t="s">
        <v>134</v>
      </c>
      <c r="N54" s="31" t="s">
        <v>159</v>
      </c>
      <c r="O54" s="31" t="s">
        <v>162</v>
      </c>
      <c r="P54" s="31" t="s">
        <v>34</v>
      </c>
      <c r="W54" s="31" t="s">
        <v>35</v>
      </c>
      <c r="X54" s="31">
        <v>1</v>
      </c>
      <c r="Y54" s="31" t="s">
        <v>152</v>
      </c>
      <c r="Z54" s="31" t="s">
        <v>38</v>
      </c>
      <c r="AB54" s="37">
        <f ca="1">(ALL_PROD_RISK3[[#This Row],[MATURITY]]-TODAY())/365</f>
        <v>3.3068493150684932</v>
      </c>
      <c r="AC54" s="38" t="e">
        <f>_xlfn.XLOOKUP(ALL_PROD_RISK3[[#This Row],[Rank]],[1]!RANKtbl[Rank],[1]!RANKtbl[STEPS])</f>
        <v>#REF!</v>
      </c>
      <c r="AD54" s="38">
        <f>IF(ALL_PROD_RISK3[[#This Row],[RATING]]="AAA",-7,)</f>
        <v>-7</v>
      </c>
      <c r="AE54" s="38"/>
      <c r="AF54" s="38"/>
      <c r="AG54" s="38"/>
      <c r="AH54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54" s="39" t="e">
        <f>IF(ALL_PROD_RISK3[[#This Row],[C_INDEX]]&lt;1,"AAA",_xlfn.XLOOKUP(ALL_PROD_RISK3[[#This Row],[C_INDEX]],[1]!CS_RATING[INDEX],[1]!CS_RATING[RATING]))</f>
        <v>#REF!</v>
      </c>
      <c r="AJ54" s="21" t="e" cm="1">
        <f t="array" aca="1" ref="AJ54" ca="1">_xll.qlInterpolation2DInterpolate([1]CS_Interplation_act!$E$15,ALL_PROD_RISK3[[#This Row],[TtM]],ALL_PROD_RISK3[[#This Row],[C_INDEX]],TRUE,[1]CS_Interplation_act!E67)</f>
        <v>#VALUE!</v>
      </c>
    </row>
    <row r="55" spans="1:36" x14ac:dyDescent="0.2">
      <c r="A55" s="31">
        <v>1</v>
      </c>
      <c r="B55" s="31" t="s">
        <v>137</v>
      </c>
      <c r="C55" s="31" t="s">
        <v>138</v>
      </c>
      <c r="D55" s="31" t="s">
        <v>32</v>
      </c>
      <c r="E55" s="31" t="s">
        <v>97</v>
      </c>
      <c r="F55" s="31" t="s">
        <v>238</v>
      </c>
      <c r="G55" s="31" t="s">
        <v>33</v>
      </c>
      <c r="H55" s="40">
        <v>44830</v>
      </c>
      <c r="I55" s="40">
        <v>45488</v>
      </c>
      <c r="J55" s="32">
        <v>2.5000000000000001E-3</v>
      </c>
      <c r="K55" s="36"/>
      <c r="L55" s="31">
        <v>1</v>
      </c>
      <c r="M55" s="31" t="s">
        <v>98</v>
      </c>
      <c r="N55" s="31" t="s">
        <v>159</v>
      </c>
      <c r="O55" s="31" t="s">
        <v>161</v>
      </c>
      <c r="P55" s="31" t="s">
        <v>34</v>
      </c>
      <c r="W55" s="31" t="s">
        <v>35</v>
      </c>
      <c r="X55" s="31">
        <v>1</v>
      </c>
      <c r="Y55" s="31" t="s">
        <v>152</v>
      </c>
      <c r="Z55" s="31" t="s">
        <v>38</v>
      </c>
      <c r="AB55" s="37">
        <f ca="1">(ALL_PROD_RISK3[[#This Row],[MATURITY]]-TODAY())/365</f>
        <v>0.37808219178082192</v>
      </c>
      <c r="AC55" s="38" t="e">
        <f>_xlfn.XLOOKUP(ALL_PROD_RISK3[[#This Row],[Rank]],[1]!RANKtbl[Rank],[1]!RANKtbl[STEPS])</f>
        <v>#REF!</v>
      </c>
      <c r="AD55" s="38">
        <f>IF(ALL_PROD_RISK3[[#This Row],[RATING]]="AAA",-7,)</f>
        <v>-7</v>
      </c>
      <c r="AE55" s="38"/>
      <c r="AF55" s="38"/>
      <c r="AG55" s="38"/>
      <c r="AH55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55" s="39" t="e">
        <f>IF(ALL_PROD_RISK3[[#This Row],[C_INDEX]]&lt;1,"AAA",_xlfn.XLOOKUP(ALL_PROD_RISK3[[#This Row],[C_INDEX]],[1]!CS_RATING[INDEX],[1]!CS_RATING[RATING]))</f>
        <v>#REF!</v>
      </c>
      <c r="AJ55" s="21" t="e" cm="1">
        <f t="array" aca="1" ref="AJ55" ca="1">_xll.qlInterpolation2DInterpolate([1]CS_Interplation_act!$E$15,ALL_PROD_RISK3[[#This Row],[TtM]],ALL_PROD_RISK3[[#This Row],[C_INDEX]],TRUE,[1]CS_Interplation_act!E68)</f>
        <v>#VALUE!</v>
      </c>
    </row>
    <row r="56" spans="1:36" x14ac:dyDescent="0.2">
      <c r="A56" s="31">
        <v>1</v>
      </c>
      <c r="B56" s="31" t="s">
        <v>139</v>
      </c>
      <c r="C56" s="31" t="s">
        <v>140</v>
      </c>
      <c r="D56" s="31" t="s">
        <v>32</v>
      </c>
      <c r="E56" s="31" t="s">
        <v>39</v>
      </c>
      <c r="F56" s="31" t="s">
        <v>238</v>
      </c>
      <c r="G56" s="31" t="s">
        <v>33</v>
      </c>
      <c r="H56" s="40">
        <v>44855</v>
      </c>
      <c r="I56" s="40">
        <v>46301</v>
      </c>
      <c r="J56" s="32">
        <v>2.1250000000000002E-2</v>
      </c>
      <c r="K56" s="36"/>
      <c r="L56" s="31">
        <v>1</v>
      </c>
      <c r="M56" s="31" t="s">
        <v>40</v>
      </c>
      <c r="N56" s="31" t="s">
        <v>159</v>
      </c>
      <c r="O56" s="31" t="s">
        <v>160</v>
      </c>
      <c r="P56" s="31" t="s">
        <v>34</v>
      </c>
      <c r="W56" s="31" t="s">
        <v>35</v>
      </c>
      <c r="X56" s="31">
        <v>1</v>
      </c>
      <c r="Y56" s="31" t="s">
        <v>146</v>
      </c>
      <c r="Z56" s="31" t="s">
        <v>38</v>
      </c>
      <c r="AB56" s="37">
        <f ca="1">(ALL_PROD_RISK3[[#This Row],[MATURITY]]-TODAY())/365</f>
        <v>2.6054794520547944</v>
      </c>
      <c r="AC56" s="38" t="e">
        <f>_xlfn.XLOOKUP(ALL_PROD_RISK3[[#This Row],[Rank]],[1]!RANKtbl[Rank],[1]!RANKtbl[STEPS])</f>
        <v>#REF!</v>
      </c>
      <c r="AD56" s="38">
        <f>IF(ALL_PROD_RISK3[[#This Row],[RATING]]="AAA",-7,)</f>
        <v>0</v>
      </c>
      <c r="AE56" s="38"/>
      <c r="AF56" s="38"/>
      <c r="AG56" s="38"/>
      <c r="AH56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56" s="39" t="e">
        <f>IF(ALL_PROD_RISK3[[#This Row],[C_INDEX]]&lt;1,"AAA",_xlfn.XLOOKUP(ALL_PROD_RISK3[[#This Row],[C_INDEX]],[1]!CS_RATING[INDEX],[1]!CS_RATING[RATING]))</f>
        <v>#REF!</v>
      </c>
      <c r="AJ56" s="21" t="e" cm="1">
        <f t="array" aca="1" ref="AJ56" ca="1">_xll.qlInterpolation2DInterpolate([1]CS_Interplation_act!$E$15,ALL_PROD_RISK3[[#This Row],[TtM]],ALL_PROD_RISK3[[#This Row],[C_INDEX]],TRUE,[1]CS_Interplation_act!E69)</f>
        <v>#VALUE!</v>
      </c>
    </row>
    <row r="57" spans="1:36" x14ac:dyDescent="0.2">
      <c r="A57" s="31">
        <v>1</v>
      </c>
      <c r="B57" s="31" t="s">
        <v>263</v>
      </c>
      <c r="C57" s="31" t="s">
        <v>264</v>
      </c>
      <c r="D57" s="31" t="s">
        <v>32</v>
      </c>
      <c r="E57" s="31" t="s">
        <v>125</v>
      </c>
      <c r="F57" s="31" t="s">
        <v>238</v>
      </c>
      <c r="G57" s="31" t="s">
        <v>33</v>
      </c>
      <c r="H57" s="40">
        <v>44964</v>
      </c>
      <c r="I57" s="40">
        <v>45672</v>
      </c>
      <c r="J57" s="32">
        <v>6.2500000000000003E-3</v>
      </c>
      <c r="K57" s="36"/>
      <c r="L57" s="31">
        <v>1</v>
      </c>
      <c r="M57" s="31" t="s">
        <v>126</v>
      </c>
      <c r="N57" s="31" t="s">
        <v>159</v>
      </c>
      <c r="O57" s="31" t="s">
        <v>161</v>
      </c>
      <c r="P57" s="31" t="s">
        <v>34</v>
      </c>
      <c r="W57" s="31" t="s">
        <v>35</v>
      </c>
      <c r="X57" s="31">
        <v>1</v>
      </c>
      <c r="Y57" s="31" t="s">
        <v>152</v>
      </c>
      <c r="Z57" s="31" t="s">
        <v>38</v>
      </c>
      <c r="AB57" s="37">
        <f ca="1">(ALL_PROD_RISK3[[#This Row],[MATURITY]]-TODAY())/365</f>
        <v>0.88219178082191785</v>
      </c>
      <c r="AC57" s="38" t="e">
        <f>_xlfn.XLOOKUP(ALL_PROD_RISK3[[#This Row],[Rank]],[1]!RANKtbl[Rank],[1]!RANKtbl[STEPS])</f>
        <v>#REF!</v>
      </c>
      <c r="AD57" s="38">
        <f>IF(ALL_PROD_RISK3[[#This Row],[RATING]]="AAA",-7,)</f>
        <v>-7</v>
      </c>
      <c r="AE57" s="38"/>
      <c r="AF57" s="38"/>
      <c r="AG57" s="38"/>
      <c r="AH57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57" s="39" t="e">
        <f>IF(ALL_PROD_RISK3[[#This Row],[C_INDEX]]&lt;1,"AAA",_xlfn.XLOOKUP(ALL_PROD_RISK3[[#This Row],[C_INDEX]],[1]!CS_RATING[INDEX],[1]!CS_RATING[RATING]))</f>
        <v>#REF!</v>
      </c>
      <c r="AJ57" s="21" t="e" cm="1">
        <f t="array" aca="1" ref="AJ57" ca="1">_xll.qlInterpolation2DInterpolate([1]CS_Interplation_act!$E$15,ALL_PROD_RISK3[[#This Row],[TtM]],ALL_PROD_RISK3[[#This Row],[C_INDEX]],TRUE,[1]CS_Interplation_act!E70)</f>
        <v>#VALUE!</v>
      </c>
    </row>
    <row r="58" spans="1:36" x14ac:dyDescent="0.2">
      <c r="A58" s="31">
        <v>1</v>
      </c>
      <c r="B58" s="31" t="s">
        <v>265</v>
      </c>
      <c r="C58" s="31" t="s">
        <v>266</v>
      </c>
      <c r="D58" s="31" t="s">
        <v>32</v>
      </c>
      <c r="E58" s="31" t="s">
        <v>39</v>
      </c>
      <c r="F58" s="31" t="s">
        <v>238</v>
      </c>
      <c r="G58" s="31" t="s">
        <v>33</v>
      </c>
      <c r="H58" s="40">
        <v>44992</v>
      </c>
      <c r="I58" s="40">
        <v>45743</v>
      </c>
      <c r="J58" s="32">
        <v>3.7499999999999999E-2</v>
      </c>
      <c r="K58" s="36"/>
      <c r="L58" s="31">
        <v>1</v>
      </c>
      <c r="M58" s="31" t="s">
        <v>40</v>
      </c>
      <c r="N58" s="31" t="s">
        <v>159</v>
      </c>
      <c r="O58" s="31" t="s">
        <v>160</v>
      </c>
      <c r="P58" s="31" t="s">
        <v>34</v>
      </c>
      <c r="W58" s="31" t="s">
        <v>35</v>
      </c>
      <c r="X58" s="31">
        <v>1</v>
      </c>
      <c r="Y58" s="31" t="s">
        <v>146</v>
      </c>
      <c r="Z58" s="31" t="s">
        <v>38</v>
      </c>
      <c r="AB58" s="37">
        <f ca="1">(ALL_PROD_RISK3[[#This Row],[MATURITY]]-TODAY())/365</f>
        <v>1.0767123287671232</v>
      </c>
      <c r="AC58" s="38" t="e">
        <f>_xlfn.XLOOKUP(ALL_PROD_RISK3[[#This Row],[Rank]],[1]!RANKtbl[Rank],[1]!RANKtbl[STEPS])</f>
        <v>#REF!</v>
      </c>
      <c r="AD58" s="38">
        <f>IF(ALL_PROD_RISK3[[#This Row],[RATING]]="AAA",-7,)</f>
        <v>0</v>
      </c>
      <c r="AE58" s="38"/>
      <c r="AF58" s="38"/>
      <c r="AG58" s="38"/>
      <c r="AH58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58" s="39" t="e">
        <f>IF(ALL_PROD_RISK3[[#This Row],[C_INDEX]]&lt;1,"AAA",_xlfn.XLOOKUP(ALL_PROD_RISK3[[#This Row],[C_INDEX]],[1]!CS_RATING[INDEX],[1]!CS_RATING[RATING]))</f>
        <v>#REF!</v>
      </c>
      <c r="AJ58" s="21" t="e" cm="1">
        <f t="array" aca="1" ref="AJ58" ca="1">_xll.qlInterpolation2DInterpolate([1]CS_Interplation_act!$E$15,ALL_PROD_RISK3[[#This Row],[TtM]],ALL_PROD_RISK3[[#This Row],[C_INDEX]],TRUE,[1]CS_Interplation_act!E71)</f>
        <v>#VALUE!</v>
      </c>
    </row>
    <row r="59" spans="1:36" x14ac:dyDescent="0.2">
      <c r="A59" s="31">
        <v>1</v>
      </c>
      <c r="B59" s="31" t="s">
        <v>267</v>
      </c>
      <c r="C59" s="31" t="s">
        <v>268</v>
      </c>
      <c r="D59" s="31" t="s">
        <v>32</v>
      </c>
      <c r="E59" s="31" t="s">
        <v>42</v>
      </c>
      <c r="F59" s="31" t="s">
        <v>238</v>
      </c>
      <c r="G59" s="31" t="s">
        <v>33</v>
      </c>
      <c r="H59" s="40">
        <v>45065</v>
      </c>
      <c r="I59" s="40">
        <v>46161</v>
      </c>
      <c r="J59" s="32">
        <v>3.7999999999999999E-2</v>
      </c>
      <c r="K59" s="36"/>
      <c r="L59" s="31">
        <v>1</v>
      </c>
      <c r="M59" s="31" t="s">
        <v>43</v>
      </c>
      <c r="N59" s="31" t="s">
        <v>159</v>
      </c>
      <c r="O59" s="31" t="s">
        <v>160</v>
      </c>
      <c r="P59" s="31" t="s">
        <v>34</v>
      </c>
      <c r="W59" s="31" t="s">
        <v>35</v>
      </c>
      <c r="X59" s="31">
        <v>1</v>
      </c>
      <c r="Y59" s="31" t="s">
        <v>150</v>
      </c>
      <c r="Z59" s="31" t="s">
        <v>38</v>
      </c>
      <c r="AB59" s="37">
        <f ca="1">(ALL_PROD_RISK3[[#This Row],[MATURITY]]-TODAY())/365</f>
        <v>2.2219178082191782</v>
      </c>
      <c r="AC59" s="38" t="e">
        <f>_xlfn.XLOOKUP(ALL_PROD_RISK3[[#This Row],[Rank]],[1]!RANKtbl[Rank],[1]!RANKtbl[STEPS])</f>
        <v>#REF!</v>
      </c>
      <c r="AD59" s="38">
        <f>IF(ALL_PROD_RISK3[[#This Row],[RATING]]="AAA",-7,)</f>
        <v>0</v>
      </c>
      <c r="AE59" s="38"/>
      <c r="AF59" s="38"/>
      <c r="AG59" s="38"/>
      <c r="AH59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59" s="39" t="e">
        <f>IF(ALL_PROD_RISK3[[#This Row],[C_INDEX]]&lt;1,"AAA",_xlfn.XLOOKUP(ALL_PROD_RISK3[[#This Row],[C_INDEX]],[1]!CS_RATING[INDEX],[1]!CS_RATING[RATING]))</f>
        <v>#REF!</v>
      </c>
      <c r="AJ59" s="21" t="e" cm="1">
        <f t="array" aca="1" ref="AJ59" ca="1">_xll.qlInterpolation2DInterpolate([1]CS_Interplation_act!$E$15,ALL_PROD_RISK3[[#This Row],[TtM]],ALL_PROD_RISK3[[#This Row],[C_INDEX]],TRUE,[1]CS_Interplation_act!E72)</f>
        <v>#VALUE!</v>
      </c>
    </row>
    <row r="60" spans="1:36" x14ac:dyDescent="0.2">
      <c r="A60" s="31">
        <v>1</v>
      </c>
      <c r="B60" s="31" t="s">
        <v>269</v>
      </c>
      <c r="C60" s="31" t="s">
        <v>270</v>
      </c>
      <c r="D60" s="31" t="s">
        <v>32</v>
      </c>
      <c r="E60" s="31" t="s">
        <v>49</v>
      </c>
      <c r="F60" s="31" t="s">
        <v>238</v>
      </c>
      <c r="G60" s="31" t="s">
        <v>33</v>
      </c>
      <c r="H60" s="40">
        <v>45071</v>
      </c>
      <c r="I60" s="40">
        <v>46677</v>
      </c>
      <c r="J60" s="32">
        <v>3.5000000000000003E-2</v>
      </c>
      <c r="K60" s="36"/>
      <c r="L60" s="31">
        <v>1</v>
      </c>
      <c r="M60" s="31" t="s">
        <v>50</v>
      </c>
      <c r="N60" s="31" t="s">
        <v>159</v>
      </c>
      <c r="O60" s="31" t="s">
        <v>160</v>
      </c>
      <c r="P60" s="31" t="s">
        <v>34</v>
      </c>
      <c r="W60" s="31" t="s">
        <v>35</v>
      </c>
      <c r="X60" s="31">
        <v>1</v>
      </c>
      <c r="Y60" s="31" t="s">
        <v>146</v>
      </c>
      <c r="Z60" s="31" t="s">
        <v>38</v>
      </c>
      <c r="AB60" s="37">
        <f ca="1">(ALL_PROD_RISK3[[#This Row],[MATURITY]]-TODAY())/365</f>
        <v>3.6356164383561644</v>
      </c>
      <c r="AC60" s="38" t="e">
        <f>_xlfn.XLOOKUP(ALL_PROD_RISK3[[#This Row],[Rank]],[1]!RANKtbl[Rank],[1]!RANKtbl[STEPS])</f>
        <v>#REF!</v>
      </c>
      <c r="AD60" s="38">
        <f>IF(ALL_PROD_RISK3[[#This Row],[RATING]]="AAA",-7,)</f>
        <v>0</v>
      </c>
      <c r="AE60" s="38"/>
      <c r="AF60" s="38"/>
      <c r="AG60" s="38"/>
      <c r="AH60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60" s="39" t="e">
        <f>IF(ALL_PROD_RISK3[[#This Row],[C_INDEX]]&lt;1,"AAA",_xlfn.XLOOKUP(ALL_PROD_RISK3[[#This Row],[C_INDEX]],[1]!CS_RATING[INDEX],[1]!CS_RATING[RATING]))</f>
        <v>#REF!</v>
      </c>
      <c r="AJ60" s="21" t="e" cm="1">
        <f t="array" aca="1" ref="AJ60" ca="1">_xll.qlInterpolation2DInterpolate([1]CS_Interplation_act!$E$15,ALL_PROD_RISK3[[#This Row],[TtM]],ALL_PROD_RISK3[[#This Row],[C_INDEX]],TRUE,[1]CS_Interplation_act!E73)</f>
        <v>#VALUE!</v>
      </c>
    </row>
    <row r="61" spans="1:36" x14ac:dyDescent="0.2">
      <c r="A61" s="31">
        <v>1</v>
      </c>
      <c r="B61" s="31" t="s">
        <v>271</v>
      </c>
      <c r="C61" s="31" t="s">
        <v>272</v>
      </c>
      <c r="D61" s="31" t="s">
        <v>32</v>
      </c>
      <c r="E61" s="31" t="s">
        <v>78</v>
      </c>
      <c r="F61" s="31" t="s">
        <v>238</v>
      </c>
      <c r="G61" s="31" t="s">
        <v>33</v>
      </c>
      <c r="H61" s="40">
        <v>45055</v>
      </c>
      <c r="I61" s="40">
        <v>45820</v>
      </c>
      <c r="J61" s="32">
        <v>3.125E-2</v>
      </c>
      <c r="K61" s="36"/>
      <c r="L61" s="31">
        <v>1</v>
      </c>
      <c r="M61" s="31" t="s">
        <v>79</v>
      </c>
      <c r="N61" s="31" t="s">
        <v>159</v>
      </c>
      <c r="O61" s="31" t="s">
        <v>160</v>
      </c>
      <c r="P61" s="31" t="s">
        <v>34</v>
      </c>
      <c r="W61" s="31" t="s">
        <v>35</v>
      </c>
      <c r="X61" s="31">
        <v>1</v>
      </c>
      <c r="Y61" s="31" t="s">
        <v>150</v>
      </c>
      <c r="Z61" s="31" t="s">
        <v>38</v>
      </c>
      <c r="AB61" s="37">
        <f ca="1">(ALL_PROD_RISK3[[#This Row],[MATURITY]]-TODAY())/365</f>
        <v>1.2876712328767124</v>
      </c>
      <c r="AC61" s="38" t="e">
        <f>_xlfn.XLOOKUP(ALL_PROD_RISK3[[#This Row],[Rank]],[1]!RANKtbl[Rank],[1]!RANKtbl[STEPS])</f>
        <v>#REF!</v>
      </c>
      <c r="AD61" s="38">
        <f>IF(ALL_PROD_RISK3[[#This Row],[RATING]]="AAA",-7,)</f>
        <v>0</v>
      </c>
      <c r="AE61" s="38"/>
      <c r="AF61" s="38"/>
      <c r="AG61" s="38"/>
      <c r="AH61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61" s="39" t="e">
        <f>IF(ALL_PROD_RISK3[[#This Row],[C_INDEX]]&lt;1,"AAA",_xlfn.XLOOKUP(ALL_PROD_RISK3[[#This Row],[C_INDEX]],[1]!CS_RATING[INDEX],[1]!CS_RATING[RATING]))</f>
        <v>#REF!</v>
      </c>
      <c r="AJ61" s="21" t="e" cm="1">
        <f t="array" aca="1" ref="AJ61" ca="1">_xll.qlInterpolation2DInterpolate([1]CS_Interplation_act!$E$15,ALL_PROD_RISK3[[#This Row],[TtM]],ALL_PROD_RISK3[[#This Row],[C_INDEX]],TRUE,[1]CS_Interplation_act!E74)</f>
        <v>#VALUE!</v>
      </c>
    </row>
    <row r="62" spans="1:36" x14ac:dyDescent="0.2">
      <c r="A62" s="31">
        <v>1</v>
      </c>
      <c r="B62" s="31">
        <v>2017009</v>
      </c>
      <c r="C62" s="31" t="s">
        <v>273</v>
      </c>
      <c r="D62" s="31" t="s">
        <v>32</v>
      </c>
      <c r="E62" s="31" t="s">
        <v>39</v>
      </c>
      <c r="F62" s="31" t="s">
        <v>274</v>
      </c>
      <c r="G62" s="31" t="s">
        <v>33</v>
      </c>
      <c r="H62" s="40">
        <v>43048</v>
      </c>
      <c r="I62" s="40">
        <v>45291</v>
      </c>
      <c r="J62" s="32">
        <v>2.0000000000000001E-4</v>
      </c>
      <c r="K62" s="36"/>
      <c r="L62" s="31">
        <v>1</v>
      </c>
      <c r="M62" s="31" t="s">
        <v>40</v>
      </c>
      <c r="N62" s="31" t="s">
        <v>159</v>
      </c>
      <c r="O62" s="31" t="s">
        <v>160</v>
      </c>
      <c r="P62" s="31" t="s">
        <v>34</v>
      </c>
      <c r="W62" s="31" t="s">
        <v>35</v>
      </c>
      <c r="X62" s="31">
        <v>1</v>
      </c>
      <c r="Y62" s="31" t="s">
        <v>146</v>
      </c>
      <c r="Z62" s="31" t="s">
        <v>38</v>
      </c>
      <c r="AB62" s="37">
        <f ca="1">(ALL_PROD_RISK3[[#This Row],[MATURITY]]-TODAY())/365</f>
        <v>-0.16164383561643836</v>
      </c>
      <c r="AC62" s="38" t="e">
        <f>_xlfn.XLOOKUP(ALL_PROD_RISK3[[#This Row],[Rank]],[1]!RANKtbl[Rank],[1]!RANKtbl[STEPS])</f>
        <v>#REF!</v>
      </c>
      <c r="AD62" s="38">
        <f>IF(ALL_PROD_RISK3[[#This Row],[RATING]]="AAA",-7,)</f>
        <v>0</v>
      </c>
      <c r="AE62" s="38"/>
      <c r="AF62" s="38"/>
      <c r="AG62" s="38"/>
      <c r="AH62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62" s="39" t="e">
        <f>IF(ALL_PROD_RISK3[[#This Row],[C_INDEX]]&lt;1,"AAA",_xlfn.XLOOKUP(ALL_PROD_RISK3[[#This Row],[C_INDEX]],[1]!CS_RATING[INDEX],[1]!CS_RATING[RATING]))</f>
        <v>#REF!</v>
      </c>
      <c r="AJ62" s="21" t="e" cm="1">
        <f t="array" aca="1" ref="AJ62" ca="1">_xll.qlInterpolation2DInterpolate([1]CS_Interplation_act!$E$15,ALL_PROD_RISK3[[#This Row],[TtM]],ALL_PROD_RISK3[[#This Row],[C_INDEX]],TRUE,[1]CS_Interplation_act!E75)</f>
        <v>#VALUE!</v>
      </c>
    </row>
    <row r="63" spans="1:36" x14ac:dyDescent="0.2">
      <c r="A63" s="31">
        <v>1</v>
      </c>
      <c r="B63" s="31">
        <v>2023016</v>
      </c>
      <c r="C63" s="31" t="s">
        <v>275</v>
      </c>
      <c r="D63" s="31" t="s">
        <v>32</v>
      </c>
      <c r="E63" s="31" t="s">
        <v>39</v>
      </c>
      <c r="F63" s="31" t="s">
        <v>274</v>
      </c>
      <c r="G63" s="31" t="s">
        <v>33</v>
      </c>
      <c r="H63" s="40">
        <v>45187</v>
      </c>
      <c r="I63" s="40">
        <v>45554</v>
      </c>
      <c r="J63" s="32">
        <v>4.1000000000000002E-2</v>
      </c>
      <c r="K63" s="36"/>
      <c r="L63" s="31">
        <v>1</v>
      </c>
      <c r="M63" s="31" t="s">
        <v>40</v>
      </c>
      <c r="N63" s="31" t="s">
        <v>159</v>
      </c>
      <c r="O63" s="31" t="s">
        <v>160</v>
      </c>
      <c r="P63" s="31" t="s">
        <v>34</v>
      </c>
      <c r="W63" s="31" t="s">
        <v>35</v>
      </c>
      <c r="X63" s="31">
        <v>1</v>
      </c>
      <c r="Y63" s="31" t="s">
        <v>146</v>
      </c>
      <c r="Z63" s="31" t="s">
        <v>38</v>
      </c>
      <c r="AB63" s="37">
        <f ca="1">(ALL_PROD_RISK3[[#This Row],[MATURITY]]-TODAY())/365</f>
        <v>0.55890410958904113</v>
      </c>
      <c r="AC63" s="38" t="e">
        <f>_xlfn.XLOOKUP(ALL_PROD_RISK3[[#This Row],[Rank]],[1]!RANKtbl[Rank],[1]!RANKtbl[STEPS])</f>
        <v>#REF!</v>
      </c>
      <c r="AD63" s="38">
        <f>IF(ALL_PROD_RISK3[[#This Row],[RATING]]="AAA",-7,)</f>
        <v>0</v>
      </c>
      <c r="AE63" s="38"/>
      <c r="AF63" s="38"/>
      <c r="AG63" s="38"/>
      <c r="AH63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63" s="39" t="e">
        <f>IF(ALL_PROD_RISK3[[#This Row],[C_INDEX]]&lt;1,"AAA",_xlfn.XLOOKUP(ALL_PROD_RISK3[[#This Row],[C_INDEX]],[1]!CS_RATING[INDEX],[1]!CS_RATING[RATING]))</f>
        <v>#REF!</v>
      </c>
      <c r="AJ63" s="21" t="e" cm="1">
        <f t="array" aca="1" ref="AJ63" ca="1">_xll.qlInterpolation2DInterpolate([1]CS_Interplation_act!$E$15,ALL_PROD_RISK3[[#This Row],[TtM]],ALL_PROD_RISK3[[#This Row],[C_INDEX]],TRUE,[1]CS_Interplation_act!E76)</f>
        <v>#VALUE!</v>
      </c>
    </row>
    <row r="64" spans="1:36" x14ac:dyDescent="0.2">
      <c r="A64" s="31">
        <v>1</v>
      </c>
      <c r="B64" s="31">
        <v>2023014</v>
      </c>
      <c r="C64" s="31" t="s">
        <v>276</v>
      </c>
      <c r="D64" s="31" t="s">
        <v>32</v>
      </c>
      <c r="E64" s="31" t="s">
        <v>36</v>
      </c>
      <c r="F64" s="31" t="s">
        <v>274</v>
      </c>
      <c r="G64" s="31" t="s">
        <v>33</v>
      </c>
      <c r="H64" s="40">
        <v>45079</v>
      </c>
      <c r="I64" s="40">
        <v>45275</v>
      </c>
      <c r="J64" s="32">
        <v>3.3000000000000002E-2</v>
      </c>
      <c r="K64" s="36"/>
      <c r="L64" s="31">
        <v>1</v>
      </c>
      <c r="M64" s="31" t="s">
        <v>37</v>
      </c>
      <c r="N64" s="31" t="s">
        <v>159</v>
      </c>
      <c r="O64" s="31" t="s">
        <v>160</v>
      </c>
      <c r="P64" s="31" t="s">
        <v>34</v>
      </c>
      <c r="W64" s="31" t="s">
        <v>35</v>
      </c>
      <c r="X64" s="31">
        <v>1</v>
      </c>
      <c r="Y64" s="31" t="s">
        <v>145</v>
      </c>
      <c r="Z64" s="31" t="s">
        <v>38</v>
      </c>
      <c r="AB64" s="37">
        <f ca="1">(ALL_PROD_RISK3[[#This Row],[MATURITY]]-TODAY())/365</f>
        <v>-0.20547945205479451</v>
      </c>
      <c r="AC64" s="38" t="e">
        <f>_xlfn.XLOOKUP(ALL_PROD_RISK3[[#This Row],[Rank]],[1]!RANKtbl[Rank],[1]!RANKtbl[STEPS])</f>
        <v>#REF!</v>
      </c>
      <c r="AD64" s="38">
        <f>IF(ALL_PROD_RISK3[[#This Row],[RATING]]="AAA",-7,)</f>
        <v>0</v>
      </c>
      <c r="AE64" s="38"/>
      <c r="AF64" s="38"/>
      <c r="AG64" s="38"/>
      <c r="AH64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64" s="39" t="e">
        <f>IF(ALL_PROD_RISK3[[#This Row],[C_INDEX]]&lt;1,"AAA",_xlfn.XLOOKUP(ALL_PROD_RISK3[[#This Row],[C_INDEX]],[1]!CS_RATING[INDEX],[1]!CS_RATING[RATING]))</f>
        <v>#REF!</v>
      </c>
      <c r="AJ64" s="21" t="e" cm="1">
        <f t="array" aca="1" ref="AJ64" ca="1">_xll.qlInterpolation2DInterpolate([1]CS_Interplation_act!$E$15,ALL_PROD_RISK3[[#This Row],[TtM]],ALL_PROD_RISK3[[#This Row],[C_INDEX]],TRUE,[1]CS_Interplation_act!E77)</f>
        <v>#VALUE!</v>
      </c>
    </row>
    <row r="65" spans="1:36" x14ac:dyDescent="0.2">
      <c r="A65" s="31">
        <v>1</v>
      </c>
      <c r="B65" s="31">
        <v>2023009</v>
      </c>
      <c r="C65" s="31" t="s">
        <v>277</v>
      </c>
      <c r="D65" s="31" t="s">
        <v>32</v>
      </c>
      <c r="E65" s="31" t="s">
        <v>44</v>
      </c>
      <c r="F65" s="31" t="s">
        <v>274</v>
      </c>
      <c r="G65" s="31" t="s">
        <v>33</v>
      </c>
      <c r="H65" s="40">
        <v>45063</v>
      </c>
      <c r="I65" s="40">
        <v>45247</v>
      </c>
      <c r="J65" s="32">
        <v>3.3000000000000002E-2</v>
      </c>
      <c r="K65" s="36"/>
      <c r="L65" s="31">
        <v>1</v>
      </c>
      <c r="M65" s="31" t="s">
        <v>45</v>
      </c>
      <c r="N65" s="31" t="s">
        <v>159</v>
      </c>
      <c r="O65" s="31" t="s">
        <v>160</v>
      </c>
      <c r="P65" s="31" t="s">
        <v>34</v>
      </c>
      <c r="W65" s="31" t="s">
        <v>35</v>
      </c>
      <c r="X65" s="31">
        <v>1</v>
      </c>
      <c r="Y65" s="31" t="s">
        <v>148</v>
      </c>
      <c r="Z65" s="31" t="s">
        <v>38</v>
      </c>
      <c r="AB65" s="37">
        <f ca="1">(ALL_PROD_RISK3[[#This Row],[MATURITY]]-TODAY())/365</f>
        <v>-0.28219178082191781</v>
      </c>
      <c r="AC65" s="38" t="e">
        <f>_xlfn.XLOOKUP(ALL_PROD_RISK3[[#This Row],[Rank]],[1]!RANKtbl[Rank],[1]!RANKtbl[STEPS])</f>
        <v>#REF!</v>
      </c>
      <c r="AD65" s="38">
        <f>IF(ALL_PROD_RISK3[[#This Row],[RATING]]="AAA",-7,)</f>
        <v>0</v>
      </c>
      <c r="AE65" s="38"/>
      <c r="AF65" s="38"/>
      <c r="AG65" s="38"/>
      <c r="AH65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65" s="39" t="e">
        <f>IF(ALL_PROD_RISK3[[#This Row],[C_INDEX]]&lt;1,"AAA",_xlfn.XLOOKUP(ALL_PROD_RISK3[[#This Row],[C_INDEX]],[1]!CS_RATING[INDEX],[1]!CS_RATING[RATING]))</f>
        <v>#REF!</v>
      </c>
      <c r="AJ65" s="21" t="e" cm="1">
        <f t="array" aca="1" ref="AJ65" ca="1">_xll.qlInterpolation2DInterpolate([1]CS_Interplation_act!$E$15,ALL_PROD_RISK3[[#This Row],[TtM]],ALL_PROD_RISK3[[#This Row],[C_INDEX]],TRUE,[1]CS_Interplation_act!E78)</f>
        <v>#VALUE!</v>
      </c>
    </row>
    <row r="66" spans="1:36" x14ac:dyDescent="0.2">
      <c r="A66" s="31">
        <v>1</v>
      </c>
      <c r="B66" s="31">
        <v>2023010</v>
      </c>
      <c r="C66" s="31" t="s">
        <v>278</v>
      </c>
      <c r="D66" s="31" t="s">
        <v>32</v>
      </c>
      <c r="E66" s="31" t="s">
        <v>42</v>
      </c>
      <c r="F66" s="31" t="s">
        <v>274</v>
      </c>
      <c r="G66" s="31" t="s">
        <v>33</v>
      </c>
      <c r="H66" s="40">
        <v>45065</v>
      </c>
      <c r="I66" s="40">
        <v>45250</v>
      </c>
      <c r="J66" s="32">
        <v>2.9499999999999998E-2</v>
      </c>
      <c r="K66" s="36"/>
      <c r="L66" s="31">
        <v>1</v>
      </c>
      <c r="M66" s="31" t="s">
        <v>43</v>
      </c>
      <c r="N66" s="31" t="s">
        <v>159</v>
      </c>
      <c r="O66" s="31" t="s">
        <v>160</v>
      </c>
      <c r="P66" s="31" t="s">
        <v>34</v>
      </c>
      <c r="W66" s="31" t="s">
        <v>35</v>
      </c>
      <c r="X66" s="31">
        <v>1</v>
      </c>
      <c r="Y66" s="31" t="s">
        <v>150</v>
      </c>
      <c r="Z66" s="31" t="s">
        <v>38</v>
      </c>
      <c r="AB66" s="37">
        <f ca="1">(ALL_PROD_RISK3[[#This Row],[MATURITY]]-TODAY())/365</f>
        <v>-0.27397260273972601</v>
      </c>
      <c r="AC66" s="38" t="e">
        <f>_xlfn.XLOOKUP(ALL_PROD_RISK3[[#This Row],[Rank]],[1]!RANKtbl[Rank],[1]!RANKtbl[STEPS])</f>
        <v>#REF!</v>
      </c>
      <c r="AD66" s="38">
        <f>IF(ALL_PROD_RISK3[[#This Row],[RATING]]="AAA",-7,)</f>
        <v>0</v>
      </c>
      <c r="AE66" s="38"/>
      <c r="AF66" s="38"/>
      <c r="AG66" s="38"/>
      <c r="AH66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66" s="39" t="e">
        <f>IF(ALL_PROD_RISK3[[#This Row],[C_INDEX]]&lt;1,"AAA",_xlfn.XLOOKUP(ALL_PROD_RISK3[[#This Row],[C_INDEX]],[1]!CS_RATING[INDEX],[1]!CS_RATING[RATING]))</f>
        <v>#REF!</v>
      </c>
      <c r="AJ66" s="21" t="e" cm="1">
        <f t="array" aca="1" ref="AJ66" ca="1">_xll.qlInterpolation2DInterpolate([1]CS_Interplation_act!$E$15,ALL_PROD_RISK3[[#This Row],[TtM]],ALL_PROD_RISK3[[#This Row],[C_INDEX]],TRUE,[1]CS_Interplation_act!E79)</f>
        <v>#VALUE!</v>
      </c>
    </row>
    <row r="67" spans="1:36" x14ac:dyDescent="0.2">
      <c r="A67" s="31">
        <v>1</v>
      </c>
      <c r="B67" s="31">
        <v>2023004</v>
      </c>
      <c r="C67" s="31" t="s">
        <v>279</v>
      </c>
      <c r="D67" s="31" t="s">
        <v>32</v>
      </c>
      <c r="E67" s="31" t="s">
        <v>141</v>
      </c>
      <c r="F67" s="31" t="s">
        <v>274</v>
      </c>
      <c r="G67" s="31" t="s">
        <v>33</v>
      </c>
      <c r="H67" s="40">
        <v>45019</v>
      </c>
      <c r="I67" s="40">
        <v>45384</v>
      </c>
      <c r="J67" s="32">
        <v>3.15E-2</v>
      </c>
      <c r="K67" s="36"/>
      <c r="L67" s="31">
        <v>1</v>
      </c>
      <c r="M67" s="31" t="s">
        <v>141</v>
      </c>
      <c r="N67" s="31" t="s">
        <v>159</v>
      </c>
      <c r="O67" s="31" t="s">
        <v>160</v>
      </c>
      <c r="P67" s="31" t="s">
        <v>34</v>
      </c>
      <c r="W67" s="31" t="s">
        <v>35</v>
      </c>
      <c r="X67" s="31">
        <v>1</v>
      </c>
      <c r="Y67" s="31" t="s">
        <v>145</v>
      </c>
      <c r="Z67" s="31" t="s">
        <v>38</v>
      </c>
      <c r="AB67" s="37">
        <f ca="1">(ALL_PROD_RISK3[[#This Row],[MATURITY]]-TODAY())/365</f>
        <v>9.3150684931506855E-2</v>
      </c>
      <c r="AC67" s="38" t="e">
        <f>_xlfn.XLOOKUP(ALL_PROD_RISK3[[#This Row],[Rank]],[1]!RANKtbl[Rank],[1]!RANKtbl[STEPS])</f>
        <v>#REF!</v>
      </c>
      <c r="AD67" s="38">
        <f>IF(ALL_PROD_RISK3[[#This Row],[RATING]]="AAA",-7,)</f>
        <v>0</v>
      </c>
      <c r="AE67" s="38"/>
      <c r="AF67" s="38"/>
      <c r="AG67" s="38"/>
      <c r="AH67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67" s="39" t="e">
        <f>IF(ALL_PROD_RISK3[[#This Row],[C_INDEX]]&lt;1,"AAA",_xlfn.XLOOKUP(ALL_PROD_RISK3[[#This Row],[C_INDEX]],[1]!CS_RATING[INDEX],[1]!CS_RATING[RATING]))</f>
        <v>#REF!</v>
      </c>
      <c r="AJ67" s="21" t="e" cm="1">
        <f t="array" aca="1" ref="AJ67" ca="1">_xll.qlInterpolation2DInterpolate([1]CS_Interplation_act!$E$15,ALL_PROD_RISK3[[#This Row],[TtM]],ALL_PROD_RISK3[[#This Row],[C_INDEX]],TRUE,[1]CS_Interplation_act!E80)</f>
        <v>#VALUE!</v>
      </c>
    </row>
    <row r="68" spans="1:36" x14ac:dyDescent="0.2">
      <c r="A68" s="31">
        <v>1</v>
      </c>
      <c r="B68" s="31">
        <v>2023005</v>
      </c>
      <c r="C68" s="31" t="s">
        <v>279</v>
      </c>
      <c r="D68" s="31" t="s">
        <v>32</v>
      </c>
      <c r="E68" s="31" t="s">
        <v>68</v>
      </c>
      <c r="F68" s="31" t="s">
        <v>274</v>
      </c>
      <c r="G68" s="31" t="s">
        <v>33</v>
      </c>
      <c r="H68" s="40">
        <v>45028</v>
      </c>
      <c r="I68" s="40">
        <v>45394</v>
      </c>
      <c r="J68" s="32">
        <v>3.0800000000000001E-2</v>
      </c>
      <c r="K68" s="36"/>
      <c r="L68" s="31">
        <v>1</v>
      </c>
      <c r="M68" s="31" t="s">
        <v>69</v>
      </c>
      <c r="N68" s="31" t="s">
        <v>159</v>
      </c>
      <c r="O68" s="31" t="s">
        <v>160</v>
      </c>
      <c r="P68" s="31" t="s">
        <v>34</v>
      </c>
      <c r="W68" s="31" t="s">
        <v>35</v>
      </c>
      <c r="X68" s="31">
        <v>1</v>
      </c>
      <c r="Y68" s="31" t="s">
        <v>149</v>
      </c>
      <c r="Z68" s="31" t="s">
        <v>38</v>
      </c>
      <c r="AB68" s="37">
        <f ca="1">(ALL_PROD_RISK3[[#This Row],[MATURITY]]-TODAY())/365</f>
        <v>0.12054794520547946</v>
      </c>
      <c r="AC68" s="38" t="e">
        <f>_xlfn.XLOOKUP(ALL_PROD_RISK3[[#This Row],[Rank]],[1]!RANKtbl[Rank],[1]!RANKtbl[STEPS])</f>
        <v>#REF!</v>
      </c>
      <c r="AD68" s="38">
        <f>IF(ALL_PROD_RISK3[[#This Row],[RATING]]="AAA",-7,)</f>
        <v>0</v>
      </c>
      <c r="AE68" s="38"/>
      <c r="AF68" s="38"/>
      <c r="AG68" s="38"/>
      <c r="AH68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68" s="39" t="e">
        <f>IF(ALL_PROD_RISK3[[#This Row],[C_INDEX]]&lt;1,"AAA",_xlfn.XLOOKUP(ALL_PROD_RISK3[[#This Row],[C_INDEX]],[1]!CS_RATING[INDEX],[1]!CS_RATING[RATING]))</f>
        <v>#REF!</v>
      </c>
      <c r="AJ68" s="21" t="e" cm="1">
        <f t="array" aca="1" ref="AJ68" ca="1">_xll.qlInterpolation2DInterpolate([1]CS_Interplation_act!$E$15,ALL_PROD_RISK3[[#This Row],[TtM]],ALL_PROD_RISK3[[#This Row],[C_INDEX]],TRUE,[1]CS_Interplation_act!E81)</f>
        <v>#VALUE!</v>
      </c>
    </row>
    <row r="69" spans="1:36" x14ac:dyDescent="0.2">
      <c r="A69" s="31">
        <v>1</v>
      </c>
      <c r="B69" s="31">
        <v>2023011</v>
      </c>
      <c r="C69" s="31" t="s">
        <v>280</v>
      </c>
      <c r="D69" s="31" t="s">
        <v>32</v>
      </c>
      <c r="E69" s="31" t="s">
        <v>49</v>
      </c>
      <c r="F69" s="31" t="s">
        <v>274</v>
      </c>
      <c r="G69" s="31" t="s">
        <v>33</v>
      </c>
      <c r="H69" s="40">
        <v>45071</v>
      </c>
      <c r="I69" s="40">
        <v>45259</v>
      </c>
      <c r="J69" s="32">
        <v>2.6499999999999999E-2</v>
      </c>
      <c r="K69" s="36"/>
      <c r="L69" s="31">
        <v>1</v>
      </c>
      <c r="M69" s="31" t="s">
        <v>50</v>
      </c>
      <c r="N69" s="31" t="s">
        <v>159</v>
      </c>
      <c r="O69" s="31" t="s">
        <v>160</v>
      </c>
      <c r="P69" s="31" t="s">
        <v>34</v>
      </c>
      <c r="W69" s="31" t="s">
        <v>35</v>
      </c>
      <c r="X69" s="31">
        <v>1</v>
      </c>
      <c r="Y69" s="31" t="s">
        <v>146</v>
      </c>
      <c r="Z69" s="31" t="s">
        <v>38</v>
      </c>
      <c r="AB69" s="37">
        <f ca="1">(ALL_PROD_RISK3[[#This Row],[MATURITY]]-TODAY())/365</f>
        <v>-0.24931506849315069</v>
      </c>
      <c r="AC69" s="38" t="e">
        <f>_xlfn.XLOOKUP(ALL_PROD_RISK3[[#This Row],[Rank]],[1]!RANKtbl[Rank],[1]!RANKtbl[STEPS])</f>
        <v>#REF!</v>
      </c>
      <c r="AD69" s="38">
        <f>IF(ALL_PROD_RISK3[[#This Row],[RATING]]="AAA",-7,)</f>
        <v>0</v>
      </c>
      <c r="AE69" s="38"/>
      <c r="AF69" s="38"/>
      <c r="AG69" s="38"/>
      <c r="AH69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69" s="39" t="e">
        <f>IF(ALL_PROD_RISK3[[#This Row],[C_INDEX]]&lt;1,"AAA",_xlfn.XLOOKUP(ALL_PROD_RISK3[[#This Row],[C_INDEX]],[1]!CS_RATING[INDEX],[1]!CS_RATING[RATING]))</f>
        <v>#REF!</v>
      </c>
      <c r="AJ69" s="21" t="e" cm="1">
        <f t="array" aca="1" ref="AJ69" ca="1">_xll.qlInterpolation2DInterpolate([1]CS_Interplation_act!$E$15,ALL_PROD_RISK3[[#This Row],[TtM]],ALL_PROD_RISK3[[#This Row],[C_INDEX]],TRUE,[1]CS_Interplation_act!E82)</f>
        <v>#VALUE!</v>
      </c>
    </row>
    <row r="70" spans="1:36" x14ac:dyDescent="0.2">
      <c r="A70" s="31">
        <v>1</v>
      </c>
      <c r="B70" s="31">
        <v>2023012</v>
      </c>
      <c r="C70" s="31" t="s">
        <v>281</v>
      </c>
      <c r="D70" s="31" t="s">
        <v>32</v>
      </c>
      <c r="E70" s="31" t="s">
        <v>39</v>
      </c>
      <c r="F70" s="31" t="s">
        <v>274</v>
      </c>
      <c r="G70" s="31" t="s">
        <v>33</v>
      </c>
      <c r="H70" s="40">
        <v>45071</v>
      </c>
      <c r="I70" s="40">
        <v>45257</v>
      </c>
      <c r="J70" s="32">
        <v>3.3000000000000002E-2</v>
      </c>
      <c r="K70" s="36"/>
      <c r="L70" s="31">
        <v>1</v>
      </c>
      <c r="M70" s="31" t="s">
        <v>40</v>
      </c>
      <c r="N70" s="31" t="s">
        <v>159</v>
      </c>
      <c r="O70" s="31" t="s">
        <v>160</v>
      </c>
      <c r="P70" s="31" t="s">
        <v>34</v>
      </c>
      <c r="W70" s="31" t="s">
        <v>35</v>
      </c>
      <c r="X70" s="31">
        <v>1</v>
      </c>
      <c r="Y70" s="31" t="s">
        <v>146</v>
      </c>
      <c r="Z70" s="31" t="s">
        <v>38</v>
      </c>
      <c r="AB70" s="37">
        <f ca="1">(ALL_PROD_RISK3[[#This Row],[MATURITY]]-TODAY())/365</f>
        <v>-0.25479452054794521</v>
      </c>
      <c r="AC70" s="38" t="e">
        <f>_xlfn.XLOOKUP(ALL_PROD_RISK3[[#This Row],[Rank]],[1]!RANKtbl[Rank],[1]!RANKtbl[STEPS])</f>
        <v>#REF!</v>
      </c>
      <c r="AD70" s="38">
        <f>IF(ALL_PROD_RISK3[[#This Row],[RATING]]="AAA",-7,)</f>
        <v>0</v>
      </c>
      <c r="AE70" s="38"/>
      <c r="AF70" s="38"/>
      <c r="AG70" s="38"/>
      <c r="AH70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70" s="39" t="e">
        <f>IF(ALL_PROD_RISK3[[#This Row],[C_INDEX]]&lt;1,"AAA",_xlfn.XLOOKUP(ALL_PROD_RISK3[[#This Row],[C_INDEX]],[1]!CS_RATING[INDEX],[1]!CS_RATING[RATING]))</f>
        <v>#REF!</v>
      </c>
      <c r="AJ70" s="21" t="e" cm="1">
        <f t="array" aca="1" ref="AJ70" ca="1">_xll.qlInterpolation2DInterpolate([1]CS_Interplation_act!$E$15,ALL_PROD_RISK3[[#This Row],[TtM]],ALL_PROD_RISK3[[#This Row],[C_INDEX]],TRUE,[1]CS_Interplation_act!E83)</f>
        <v>#VALUE!</v>
      </c>
    </row>
    <row r="71" spans="1:36" x14ac:dyDescent="0.2">
      <c r="A71" s="31">
        <v>1</v>
      </c>
      <c r="B71" s="31">
        <v>2023013</v>
      </c>
      <c r="C71" s="31" t="s">
        <v>282</v>
      </c>
      <c r="D71" s="31" t="s">
        <v>32</v>
      </c>
      <c r="E71" s="31" t="s">
        <v>41</v>
      </c>
      <c r="F71" s="31" t="s">
        <v>274</v>
      </c>
      <c r="G71" s="31" t="s">
        <v>33</v>
      </c>
      <c r="H71" s="40">
        <v>45068</v>
      </c>
      <c r="I71" s="40">
        <v>45252</v>
      </c>
      <c r="J71" s="32">
        <v>2.9499999999999998E-2</v>
      </c>
      <c r="K71" s="36"/>
      <c r="L71" s="31">
        <v>1</v>
      </c>
      <c r="M71" s="31" t="s">
        <v>41</v>
      </c>
      <c r="N71" s="31" t="s">
        <v>159</v>
      </c>
      <c r="O71" s="31" t="s">
        <v>160</v>
      </c>
      <c r="P71" s="31" t="s">
        <v>34</v>
      </c>
      <c r="W71" s="31" t="s">
        <v>35</v>
      </c>
      <c r="X71" s="31">
        <v>1</v>
      </c>
      <c r="Y71" s="31" t="s">
        <v>146</v>
      </c>
      <c r="Z71" s="31" t="s">
        <v>38</v>
      </c>
      <c r="AB71" s="37">
        <f ca="1">(ALL_PROD_RISK3[[#This Row],[MATURITY]]-TODAY())/365</f>
        <v>-0.26849315068493151</v>
      </c>
      <c r="AC71" s="38" t="e">
        <f>_xlfn.XLOOKUP(ALL_PROD_RISK3[[#This Row],[Rank]],[1]!RANKtbl[Rank],[1]!RANKtbl[STEPS])</f>
        <v>#REF!</v>
      </c>
      <c r="AD71" s="38">
        <f>IF(ALL_PROD_RISK3[[#This Row],[RATING]]="AAA",-7,)</f>
        <v>0</v>
      </c>
      <c r="AE71" s="38"/>
      <c r="AF71" s="38"/>
      <c r="AG71" s="38"/>
      <c r="AH71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71" s="39" t="e">
        <f>IF(ALL_PROD_RISK3[[#This Row],[C_INDEX]]&lt;1,"AAA",_xlfn.XLOOKUP(ALL_PROD_RISK3[[#This Row],[C_INDEX]],[1]!CS_RATING[INDEX],[1]!CS_RATING[RATING]))</f>
        <v>#REF!</v>
      </c>
      <c r="AJ71" s="21" t="e" cm="1">
        <f t="array" aca="1" ref="AJ71" ca="1">_xll.qlInterpolation2DInterpolate([1]CS_Interplation_act!$E$15,ALL_PROD_RISK3[[#This Row],[TtM]],ALL_PROD_RISK3[[#This Row],[C_INDEX]],TRUE,[1]CS_Interplation_act!E84)</f>
        <v>#VALUE!</v>
      </c>
    </row>
    <row r="72" spans="1:36" x14ac:dyDescent="0.2">
      <c r="A72" s="31">
        <v>1</v>
      </c>
      <c r="B72" s="31">
        <v>2023015</v>
      </c>
      <c r="C72" s="31" t="s">
        <v>281</v>
      </c>
      <c r="D72" s="31" t="s">
        <v>32</v>
      </c>
      <c r="E72" s="31" t="s">
        <v>142</v>
      </c>
      <c r="F72" s="31" t="s">
        <v>274</v>
      </c>
      <c r="G72" s="31" t="s">
        <v>33</v>
      </c>
      <c r="H72" s="40">
        <v>45107</v>
      </c>
      <c r="I72" s="40">
        <v>45294</v>
      </c>
      <c r="J72" s="32">
        <v>4.2999999999999997E-2</v>
      </c>
      <c r="K72" s="36"/>
      <c r="L72" s="31">
        <v>1</v>
      </c>
      <c r="M72" s="31" t="s">
        <v>143</v>
      </c>
      <c r="N72" s="31" t="s">
        <v>159</v>
      </c>
      <c r="O72" s="31" t="s">
        <v>160</v>
      </c>
      <c r="P72" s="31" t="s">
        <v>34</v>
      </c>
      <c r="W72" s="31" t="s">
        <v>35</v>
      </c>
      <c r="X72" s="31">
        <v>1</v>
      </c>
      <c r="Y72" s="31" t="s">
        <v>153</v>
      </c>
      <c r="Z72" s="31" t="s">
        <v>38</v>
      </c>
      <c r="AB72" s="37">
        <f ca="1">(ALL_PROD_RISK3[[#This Row],[MATURITY]]-TODAY())/365</f>
        <v>-0.15342465753424658</v>
      </c>
      <c r="AC72" s="38" t="e">
        <f>_xlfn.XLOOKUP(ALL_PROD_RISK3[[#This Row],[Rank]],[1]!RANKtbl[Rank],[1]!RANKtbl[STEPS])</f>
        <v>#REF!</v>
      </c>
      <c r="AD72" s="38">
        <f>IF(ALL_PROD_RISK3[[#This Row],[RATING]]="AAA",-7,)</f>
        <v>0</v>
      </c>
      <c r="AE72" s="38"/>
      <c r="AF72" s="38"/>
      <c r="AG72" s="38"/>
      <c r="AH72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72" s="39" t="e">
        <f>IF(ALL_PROD_RISK3[[#This Row],[C_INDEX]]&lt;1,"AAA",_xlfn.XLOOKUP(ALL_PROD_RISK3[[#This Row],[C_INDEX]],[1]!CS_RATING[INDEX],[1]!CS_RATING[RATING]))</f>
        <v>#REF!</v>
      </c>
      <c r="AJ72" s="21" t="e" cm="1">
        <f t="array" aca="1" ref="AJ72" ca="1">_xll.qlInterpolation2DInterpolate([1]CS_Interplation_act!$E$15,ALL_PROD_RISK3[[#This Row],[TtM]],ALL_PROD_RISK3[[#This Row],[C_INDEX]],TRUE,[1]CS_Interplation_act!E85)</f>
        <v>#VALUE!</v>
      </c>
    </row>
    <row r="73" spans="1:36" x14ac:dyDescent="0.2">
      <c r="A73" s="31">
        <v>1</v>
      </c>
      <c r="B73" s="31">
        <v>2023017</v>
      </c>
      <c r="C73" s="31" t="s">
        <v>283</v>
      </c>
      <c r="D73" s="31" t="s">
        <v>284</v>
      </c>
      <c r="E73" s="31" t="s">
        <v>41</v>
      </c>
      <c r="F73" s="31" t="s">
        <v>274</v>
      </c>
      <c r="G73" s="31" t="s">
        <v>33</v>
      </c>
      <c r="H73" s="40">
        <v>45190</v>
      </c>
      <c r="I73" s="40">
        <v>45192</v>
      </c>
      <c r="J73" s="32">
        <v>2.5000000000000001E-2</v>
      </c>
      <c r="K73" s="36"/>
      <c r="L73" s="31">
        <v>4</v>
      </c>
      <c r="M73" s="31" t="s">
        <v>41</v>
      </c>
      <c r="N73" s="31" t="s">
        <v>159</v>
      </c>
      <c r="O73" s="31" t="s">
        <v>160</v>
      </c>
      <c r="P73" s="31" t="s">
        <v>34</v>
      </c>
      <c r="W73" s="31" t="s">
        <v>35</v>
      </c>
      <c r="X73" s="31">
        <v>1</v>
      </c>
      <c r="Y73" s="31" t="s">
        <v>146</v>
      </c>
      <c r="Z73" s="31" t="s">
        <v>38</v>
      </c>
      <c r="AB73" s="37">
        <f ca="1">(ALL_PROD_RISK3[[#This Row],[MATURITY]]-TODAY())/365</f>
        <v>-0.43287671232876712</v>
      </c>
      <c r="AC73" s="38" t="e">
        <f>_xlfn.XLOOKUP(ALL_PROD_RISK3[[#This Row],[Rank]],[1]!RANKtbl[Rank],[1]!RANKtbl[STEPS])</f>
        <v>#REF!</v>
      </c>
      <c r="AD73" s="38">
        <f>IF(ALL_PROD_RISK3[[#This Row],[RATING]]="AAA",-7,)</f>
        <v>0</v>
      </c>
      <c r="AE73" s="38"/>
      <c r="AF73" s="38"/>
      <c r="AG73" s="38"/>
      <c r="AH73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73" s="39" t="e">
        <f>IF(ALL_PROD_RISK3[[#This Row],[C_INDEX]]&lt;1,"AAA",_xlfn.XLOOKUP(ALL_PROD_RISK3[[#This Row],[C_INDEX]],[1]!CS_RATING[INDEX],[1]!CS_RATING[RATING]))</f>
        <v>#REF!</v>
      </c>
      <c r="AJ73" s="21" t="e" cm="1">
        <f t="array" aca="1" ref="AJ73" ca="1">_xll.qlInterpolation2DInterpolate([1]CS_Interplation_act!$E$15,ALL_PROD_RISK3[[#This Row],[TtM]],ALL_PROD_RISK3[[#This Row],[C_INDEX]],TRUE,[1]CS_Interplation_act!E86)</f>
        <v>#VALUE!</v>
      </c>
    </row>
  </sheetData>
  <conditionalFormatting sqref="AD2:AD73">
    <cfRule type="cellIs" dxfId="1" priority="1" operator="notEqual">
      <formula>0</formula>
    </cfRule>
  </conditionalFormatting>
  <pageMargins left="0.7" right="0.7" top="0.78740157499999996" bottom="0.78740157499999996" header="0.3" footer="0.3"/>
  <customProperties>
    <customPr name="_pios_id" r:id="rId1"/>
  </customProperties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3C740-97DB-4E89-A462-C66389109804}">
  <dimension ref="A1:AJ73"/>
  <sheetViews>
    <sheetView zoomScaleNormal="100" workbookViewId="0">
      <selection activeCell="AI9" sqref="AI9"/>
    </sheetView>
  </sheetViews>
  <sheetFormatPr baseColWidth="10" defaultRowHeight="12.75" outlineLevelCol="1" x14ac:dyDescent="0.2"/>
  <cols>
    <col min="1" max="1" width="11.28515625" style="31" bestFit="1" customWidth="1"/>
    <col min="2" max="2" width="14" style="31" bestFit="1" customWidth="1"/>
    <col min="3" max="3" width="35.85546875" style="31" bestFit="1" customWidth="1"/>
    <col min="4" max="4" width="14.85546875" style="31" bestFit="1" customWidth="1"/>
    <col min="5" max="5" width="16.85546875" style="31" bestFit="1" customWidth="1"/>
    <col min="6" max="6" width="19.5703125" style="31" bestFit="1" customWidth="1" outlineLevel="1"/>
    <col min="7" max="7" width="12.85546875" style="31" bestFit="1" customWidth="1" outlineLevel="1"/>
    <col min="8" max="8" width="14.28515625" style="40" bestFit="1" customWidth="1" outlineLevel="1"/>
    <col min="9" max="9" width="12.85546875" style="40" bestFit="1" customWidth="1" outlineLevel="1"/>
    <col min="10" max="10" width="11.28515625" style="32" bestFit="1" customWidth="1" outlineLevel="1"/>
    <col min="11" max="11" width="15" style="31" bestFit="1" customWidth="1" outlineLevel="1"/>
    <col min="12" max="12" width="9.42578125" style="31" bestFit="1" customWidth="1" outlineLevel="1"/>
    <col min="13" max="13" width="10" style="31" bestFit="1" customWidth="1" outlineLevel="1"/>
    <col min="14" max="14" width="12.28515625" style="31" bestFit="1" customWidth="1" outlineLevel="1"/>
    <col min="15" max="15" width="12" style="31" bestFit="1" customWidth="1" outlineLevel="1"/>
    <col min="16" max="16" width="14.42578125" style="31" bestFit="1" customWidth="1" outlineLevel="1"/>
    <col min="17" max="17" width="11.5703125" style="31" bestFit="1" customWidth="1" outlineLevel="1"/>
    <col min="18" max="18" width="9.140625" style="31" bestFit="1" customWidth="1" outlineLevel="1"/>
    <col min="19" max="19" width="9.42578125" style="31" bestFit="1" customWidth="1" outlineLevel="1"/>
    <col min="20" max="20" width="7.7109375" style="31" bestFit="1" customWidth="1" outlineLevel="1"/>
    <col min="21" max="21" width="11.42578125" style="31" bestFit="1" customWidth="1" outlineLevel="1"/>
    <col min="22" max="22" width="15.85546875" style="31" bestFit="1" customWidth="1" outlineLevel="1"/>
    <col min="23" max="23" width="12.28515625" style="31" bestFit="1" customWidth="1" outlineLevel="1"/>
    <col min="24" max="24" width="17.7109375" style="31" bestFit="1" customWidth="1"/>
    <col min="25" max="25" width="10.28515625" style="31" bestFit="1" customWidth="1"/>
    <col min="26" max="26" width="14.28515625" style="31" bestFit="1" customWidth="1"/>
    <col min="27" max="27" width="28.5703125" style="31" bestFit="1" customWidth="1"/>
    <col min="28" max="28" width="7.42578125" style="37" bestFit="1" customWidth="1"/>
    <col min="29" max="29" width="10.5703125" style="39" bestFit="1" customWidth="1"/>
    <col min="30" max="30" width="7.85546875" style="39" bestFit="1" customWidth="1"/>
    <col min="31" max="31" width="17" style="39" bestFit="1" customWidth="1"/>
    <col min="32" max="32" width="8.7109375" style="39" bestFit="1" customWidth="1"/>
    <col min="33" max="33" width="8.7109375" style="21" bestFit="1" customWidth="1"/>
    <col min="34" max="34" width="11" style="39" bestFit="1" customWidth="1"/>
    <col min="35" max="35" width="18.7109375" style="39" bestFit="1" customWidth="1"/>
    <col min="36" max="36" width="15.28515625" style="39" bestFit="1" customWidth="1"/>
    <col min="37" max="37" width="8.5703125" style="31" bestFit="1" customWidth="1"/>
    <col min="38" max="38" width="7" style="31" bestFit="1" customWidth="1"/>
    <col min="39" max="39" width="10.140625" style="31" bestFit="1" customWidth="1"/>
    <col min="40" max="40" width="14.42578125" style="31" bestFit="1" customWidth="1"/>
    <col min="41" max="41" width="11.140625" style="31" bestFit="1" customWidth="1"/>
    <col min="42" max="42" width="16" style="31" bestFit="1" customWidth="1"/>
    <col min="43" max="43" width="9.140625" style="31" bestFit="1" customWidth="1"/>
    <col min="44" max="44" width="12.85546875" style="31" bestFit="1" customWidth="1"/>
    <col min="45" max="16384" width="11.42578125" style="31"/>
  </cols>
  <sheetData>
    <row r="1" spans="1:36" x14ac:dyDescent="0.2">
      <c r="A1" s="31" t="s">
        <v>0</v>
      </c>
      <c r="B1" s="31" t="s">
        <v>2</v>
      </c>
      <c r="C1" s="31" t="s">
        <v>8</v>
      </c>
      <c r="D1" s="31" t="s">
        <v>9</v>
      </c>
      <c r="E1" s="31" t="s">
        <v>10</v>
      </c>
      <c r="F1" s="31" t="s">
        <v>5</v>
      </c>
      <c r="G1" s="31" t="s">
        <v>11</v>
      </c>
      <c r="H1" s="40" t="s">
        <v>12</v>
      </c>
      <c r="I1" s="40" t="s">
        <v>13</v>
      </c>
      <c r="J1" s="32" t="s">
        <v>14</v>
      </c>
      <c r="K1" s="31" t="s">
        <v>15</v>
      </c>
      <c r="L1" s="31" t="s">
        <v>16</v>
      </c>
      <c r="M1" s="31" t="s">
        <v>17</v>
      </c>
      <c r="N1" s="31" t="s">
        <v>155</v>
      </c>
      <c r="O1" s="31" t="s">
        <v>156</v>
      </c>
      <c r="P1" s="31" t="s">
        <v>18</v>
      </c>
      <c r="Q1" s="31" t="s">
        <v>19</v>
      </c>
      <c r="R1" s="31" t="s">
        <v>20</v>
      </c>
      <c r="S1" s="31" t="s">
        <v>21</v>
      </c>
      <c r="T1" s="31" t="s">
        <v>22</v>
      </c>
      <c r="U1" s="31" t="s">
        <v>23</v>
      </c>
      <c r="V1" s="31" t="s">
        <v>24</v>
      </c>
      <c r="W1" s="31" t="s">
        <v>25</v>
      </c>
      <c r="X1" s="31" t="s">
        <v>26</v>
      </c>
      <c r="Y1" s="31" t="s">
        <v>29</v>
      </c>
      <c r="Z1" s="31" t="s">
        <v>27</v>
      </c>
      <c r="AA1" s="31" t="s">
        <v>28</v>
      </c>
      <c r="AB1" s="33" t="s">
        <v>30</v>
      </c>
      <c r="AC1" s="34" t="s">
        <v>222</v>
      </c>
      <c r="AD1" s="34" t="s">
        <v>152</v>
      </c>
      <c r="AE1" s="34" t="s">
        <v>223</v>
      </c>
      <c r="AF1" s="34" t="s">
        <v>224</v>
      </c>
      <c r="AG1" s="34" t="s">
        <v>225</v>
      </c>
      <c r="AH1" s="34" t="s">
        <v>226</v>
      </c>
      <c r="AI1" s="34" t="s">
        <v>227</v>
      </c>
      <c r="AJ1" s="35" t="s">
        <v>31</v>
      </c>
    </row>
    <row r="2" spans="1:36" x14ac:dyDescent="0.2">
      <c r="A2" s="31">
        <v>1</v>
      </c>
      <c r="B2" s="31">
        <v>283140</v>
      </c>
      <c r="C2" s="31" t="s">
        <v>231</v>
      </c>
      <c r="D2" s="31" t="s">
        <v>32</v>
      </c>
      <c r="E2" s="31" t="s">
        <v>36</v>
      </c>
      <c r="F2" s="31" t="s">
        <v>232</v>
      </c>
      <c r="G2" s="31" t="s">
        <v>33</v>
      </c>
      <c r="H2" s="40">
        <v>45191</v>
      </c>
      <c r="I2" s="40">
        <f>IF(ALL_PROD_RISK3[[#This Row],[MATURITY]]='INPUT_BONDS (2)'!$AM$2,'INPUT_BONDS (2)'!$AN$2,ALL_PROD_RISK3[[#This Row],[MATURITY]])</f>
        <v>45283</v>
      </c>
      <c r="J2" s="32">
        <v>1E-4</v>
      </c>
      <c r="K2" s="36"/>
      <c r="L2" s="31">
        <v>4</v>
      </c>
      <c r="M2" s="31" t="s">
        <v>37</v>
      </c>
      <c r="N2" s="31" t="s">
        <v>159</v>
      </c>
      <c r="O2" s="31" t="s">
        <v>160</v>
      </c>
      <c r="P2" s="31" t="s">
        <v>34</v>
      </c>
      <c r="W2" s="31" t="s">
        <v>35</v>
      </c>
      <c r="X2" s="31">
        <v>1</v>
      </c>
      <c r="Y2" s="31" t="s">
        <v>145</v>
      </c>
      <c r="Z2" s="31" t="s">
        <v>38</v>
      </c>
      <c r="AA2" s="31" t="s">
        <v>233</v>
      </c>
      <c r="AB2" s="37">
        <f ca="1">(ALL_PROD_RISK6[[#This Row],[MATURITY]]-TODAY())/365</f>
        <v>-0.18356164383561643</v>
      </c>
      <c r="AC2" s="38" t="e">
        <f>_xlfn.XLOOKUP(ALL_PROD_RISK6[[#This Row],[Rank]],[1]!RANKtbl[Rank],[1]!RANKtbl[STEPS])</f>
        <v>#REF!</v>
      </c>
      <c r="AD2" s="38">
        <f>IF(ALL_PROD_RISK6[[#This Row],[RATING]]="AAA",-7,)</f>
        <v>0</v>
      </c>
      <c r="AE2" s="38"/>
      <c r="AF2" s="38"/>
      <c r="AG2" s="38"/>
      <c r="AH2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2" s="39" t="e">
        <f>IF(ALL_PROD_RISK6[[#This Row],[C_INDEX]]&lt;1,"AAA",_xlfn.XLOOKUP(ALL_PROD_RISK6[[#This Row],[C_INDEX]],[1]!CS_RATING[INDEX],[1]!CS_RATING[RATING]))</f>
        <v>#REF!</v>
      </c>
      <c r="AJ2" s="21">
        <v>0</v>
      </c>
    </row>
    <row r="3" spans="1:36" x14ac:dyDescent="0.2">
      <c r="A3" s="31">
        <v>1</v>
      </c>
      <c r="B3" s="31">
        <v>283300</v>
      </c>
      <c r="C3" s="31" t="s">
        <v>234</v>
      </c>
      <c r="D3" s="31" t="s">
        <v>32</v>
      </c>
      <c r="E3" s="31" t="s">
        <v>36</v>
      </c>
      <c r="F3" s="31" t="s">
        <v>232</v>
      </c>
      <c r="G3" s="31" t="s">
        <v>33</v>
      </c>
      <c r="H3" s="40">
        <v>45191</v>
      </c>
      <c r="I3" s="40">
        <f>IF(ALL_PROD_RISK3[[#This Row],[MATURITY]]='INPUT_BONDS (2)'!$AM$2,'INPUT_BONDS (2)'!$AN$2,ALL_PROD_RISK3[[#This Row],[MATURITY]])</f>
        <v>45283</v>
      </c>
      <c r="J3" s="32">
        <v>1E-4</v>
      </c>
      <c r="K3" s="36"/>
      <c r="L3" s="31">
        <v>4</v>
      </c>
      <c r="M3" s="31" t="s">
        <v>37</v>
      </c>
      <c r="N3" s="31" t="s">
        <v>159</v>
      </c>
      <c r="O3" s="31" t="s">
        <v>160</v>
      </c>
      <c r="P3" s="31" t="s">
        <v>34</v>
      </c>
      <c r="W3" s="31" t="s">
        <v>35</v>
      </c>
      <c r="X3" s="31">
        <v>1</v>
      </c>
      <c r="Y3" s="31" t="s">
        <v>145</v>
      </c>
      <c r="Z3" s="31" t="s">
        <v>38</v>
      </c>
      <c r="AB3" s="37">
        <f ca="1">(ALL_PROD_RISK6[[#This Row],[MATURITY]]-TODAY())/365</f>
        <v>-0.18356164383561643</v>
      </c>
      <c r="AC3" s="38" t="e">
        <f>_xlfn.XLOOKUP(ALL_PROD_RISK6[[#This Row],[Rank]],[1]!RANKtbl[Rank],[1]!RANKtbl[STEPS])</f>
        <v>#REF!</v>
      </c>
      <c r="AD3" s="38">
        <f>IF(ALL_PROD_RISK6[[#This Row],[RATING]]="AAA",-7,)</f>
        <v>0</v>
      </c>
      <c r="AE3" s="38"/>
      <c r="AF3" s="38"/>
      <c r="AG3" s="38"/>
      <c r="AH3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3" s="39" t="e">
        <f>IF(ALL_PROD_RISK6[[#This Row],[C_INDEX]]&lt;1,"AAA",_xlfn.XLOOKUP(ALL_PROD_RISK6[[#This Row],[C_INDEX]],[1]!CS_RATING[INDEX],[1]!CS_RATING[RATING]))</f>
        <v>#REF!</v>
      </c>
      <c r="AJ3" s="21">
        <v>0</v>
      </c>
    </row>
    <row r="4" spans="1:36" x14ac:dyDescent="0.2">
      <c r="A4" s="31">
        <v>1</v>
      </c>
      <c r="B4" s="31">
        <v>283310</v>
      </c>
      <c r="C4" s="31" t="s">
        <v>235</v>
      </c>
      <c r="D4" s="31" t="s">
        <v>32</v>
      </c>
      <c r="E4" s="31" t="s">
        <v>36</v>
      </c>
      <c r="F4" s="31" t="s">
        <v>232</v>
      </c>
      <c r="G4" s="31" t="s">
        <v>33</v>
      </c>
      <c r="H4" s="40">
        <v>45191</v>
      </c>
      <c r="I4" s="40">
        <f>IF(ALL_PROD_RISK3[[#This Row],[MATURITY]]='INPUT_BONDS (2)'!$AM$2,'INPUT_BONDS (2)'!$AN$2,ALL_PROD_RISK3[[#This Row],[MATURITY]])</f>
        <v>45283</v>
      </c>
      <c r="J4" s="32">
        <v>9.9999999999999995E-8</v>
      </c>
      <c r="K4" s="36"/>
      <c r="L4" s="31">
        <v>4</v>
      </c>
      <c r="M4" s="31" t="s">
        <v>37</v>
      </c>
      <c r="N4" s="31" t="s">
        <v>159</v>
      </c>
      <c r="O4" s="31" t="s">
        <v>160</v>
      </c>
      <c r="P4" s="31" t="s">
        <v>34</v>
      </c>
      <c r="W4" s="31" t="s">
        <v>35</v>
      </c>
      <c r="X4" s="31">
        <v>1</v>
      </c>
      <c r="Y4" s="31" t="s">
        <v>145</v>
      </c>
      <c r="Z4" s="31" t="s">
        <v>38</v>
      </c>
      <c r="AB4" s="37">
        <f ca="1">(ALL_PROD_RISK6[[#This Row],[MATURITY]]-TODAY())/365</f>
        <v>-0.18356164383561643</v>
      </c>
      <c r="AC4" s="38" t="e">
        <f>_xlfn.XLOOKUP(ALL_PROD_RISK6[[#This Row],[Rank]],[1]!RANKtbl[Rank],[1]!RANKtbl[STEPS])</f>
        <v>#REF!</v>
      </c>
      <c r="AD4" s="38">
        <f>IF(ALL_PROD_RISK6[[#This Row],[RATING]]="AAA",-7,)</f>
        <v>0</v>
      </c>
      <c r="AE4" s="38"/>
      <c r="AF4" s="38"/>
      <c r="AG4" s="38"/>
      <c r="AH4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4" s="39" t="e">
        <f>IF(ALL_PROD_RISK6[[#This Row],[C_INDEX]]&lt;1,"AAA",_xlfn.XLOOKUP(ALL_PROD_RISK6[[#This Row],[C_INDEX]],[1]!CS_RATING[INDEX],[1]!CS_RATING[RATING]))</f>
        <v>#REF!</v>
      </c>
      <c r="AJ4" s="21">
        <v>0</v>
      </c>
    </row>
    <row r="5" spans="1:36" x14ac:dyDescent="0.2">
      <c r="A5" s="31">
        <v>1</v>
      </c>
      <c r="B5" s="31">
        <v>283239</v>
      </c>
      <c r="C5" s="31" t="s">
        <v>236</v>
      </c>
      <c r="D5" s="31" t="s">
        <v>32</v>
      </c>
      <c r="E5" s="31" t="s">
        <v>36</v>
      </c>
      <c r="F5" s="31" t="s">
        <v>232</v>
      </c>
      <c r="G5" s="31" t="s">
        <v>33</v>
      </c>
      <c r="H5" s="40">
        <v>45191</v>
      </c>
      <c r="I5" s="40">
        <f>IF(ALL_PROD_RISK3[[#This Row],[MATURITY]]='INPUT_BONDS (2)'!$AM$2,'INPUT_BONDS (2)'!$AN$2,ALL_PROD_RISK3[[#This Row],[MATURITY]])</f>
        <v>45283</v>
      </c>
      <c r="J5" s="32">
        <v>0</v>
      </c>
      <c r="K5" s="36"/>
      <c r="L5" s="31">
        <v>4</v>
      </c>
      <c r="M5" s="31" t="s">
        <v>37</v>
      </c>
      <c r="N5" s="31" t="s">
        <v>159</v>
      </c>
      <c r="O5" s="31" t="s">
        <v>160</v>
      </c>
      <c r="P5" s="31" t="s">
        <v>34</v>
      </c>
      <c r="W5" s="31" t="s">
        <v>35</v>
      </c>
      <c r="X5" s="31">
        <v>1</v>
      </c>
      <c r="Y5" s="31" t="s">
        <v>145</v>
      </c>
      <c r="Z5" s="31" t="s">
        <v>38</v>
      </c>
      <c r="AB5" s="37">
        <f ca="1">(ALL_PROD_RISK6[[#This Row],[MATURITY]]-TODAY())/365</f>
        <v>-0.18356164383561643</v>
      </c>
      <c r="AC5" s="38" t="e">
        <f>_xlfn.XLOOKUP(ALL_PROD_RISK6[[#This Row],[Rank]],[1]!RANKtbl[Rank],[1]!RANKtbl[STEPS])</f>
        <v>#REF!</v>
      </c>
      <c r="AD5" s="38">
        <f>IF(ALL_PROD_RISK6[[#This Row],[RATING]]="AAA",-7,)</f>
        <v>0</v>
      </c>
      <c r="AE5" s="38"/>
      <c r="AF5" s="38"/>
      <c r="AG5" s="38"/>
      <c r="AH5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5" s="39" t="e">
        <f>IF(ALL_PROD_RISK6[[#This Row],[C_INDEX]]&lt;1,"AAA",_xlfn.XLOOKUP(ALL_PROD_RISK6[[#This Row],[C_INDEX]],[1]!CS_RATING[INDEX],[1]!CS_RATING[RATING]))</f>
        <v>#REF!</v>
      </c>
      <c r="AJ5" s="21">
        <v>0</v>
      </c>
    </row>
    <row r="6" spans="1:36" x14ac:dyDescent="0.2">
      <c r="A6" s="31">
        <v>1</v>
      </c>
      <c r="B6" s="31">
        <v>283250</v>
      </c>
      <c r="C6" s="31" t="s">
        <v>237</v>
      </c>
      <c r="D6" s="31" t="s">
        <v>32</v>
      </c>
      <c r="E6" s="31" t="s">
        <v>39</v>
      </c>
      <c r="F6" s="31" t="s">
        <v>232</v>
      </c>
      <c r="G6" s="31" t="s">
        <v>33</v>
      </c>
      <c r="H6" s="40">
        <v>45191</v>
      </c>
      <c r="I6" s="40">
        <f>IF(ALL_PROD_RISK3[[#This Row],[MATURITY]]='INPUT_BONDS (2)'!$AM$2,'INPUT_BONDS (2)'!$AN$2,ALL_PROD_RISK3[[#This Row],[MATURITY]])</f>
        <v>45283</v>
      </c>
      <c r="J6" s="32">
        <v>2.0000000000000001E-4</v>
      </c>
      <c r="K6" s="36"/>
      <c r="L6" s="31">
        <v>4</v>
      </c>
      <c r="M6" s="31" t="s">
        <v>40</v>
      </c>
      <c r="N6" s="31" t="s">
        <v>159</v>
      </c>
      <c r="O6" s="31" t="s">
        <v>160</v>
      </c>
      <c r="P6" s="31" t="s">
        <v>34</v>
      </c>
      <c r="W6" s="31" t="s">
        <v>35</v>
      </c>
      <c r="X6" s="31">
        <v>1</v>
      </c>
      <c r="Y6" s="31" t="s">
        <v>146</v>
      </c>
      <c r="Z6" s="31" t="s">
        <v>38</v>
      </c>
      <c r="AB6" s="37">
        <f ca="1">(ALL_PROD_RISK6[[#This Row],[MATURITY]]-TODAY())/365</f>
        <v>-0.18356164383561643</v>
      </c>
      <c r="AC6" s="38" t="e">
        <f>_xlfn.XLOOKUP(ALL_PROD_RISK6[[#This Row],[Rank]],[1]!RANKtbl[Rank],[1]!RANKtbl[STEPS])</f>
        <v>#REF!</v>
      </c>
      <c r="AD6" s="38">
        <f>IF(ALL_PROD_RISK6[[#This Row],[RATING]]="AAA",-7,)</f>
        <v>0</v>
      </c>
      <c r="AE6" s="38"/>
      <c r="AF6" s="38"/>
      <c r="AG6" s="38"/>
      <c r="AH6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6" s="39" t="e">
        <f>IF(ALL_PROD_RISK6[[#This Row],[C_INDEX]]&lt;1,"AAA",_xlfn.XLOOKUP(ALL_PROD_RISK6[[#This Row],[C_INDEX]],[1]!CS_RATING[INDEX],[1]!CS_RATING[RATING]))</f>
        <v>#REF!</v>
      </c>
      <c r="AJ6" s="21">
        <v>0</v>
      </c>
    </row>
    <row r="7" spans="1:36" x14ac:dyDescent="0.2">
      <c r="A7" s="31">
        <v>1</v>
      </c>
      <c r="B7" s="31" t="s">
        <v>188</v>
      </c>
      <c r="C7" s="31" t="s">
        <v>189</v>
      </c>
      <c r="D7" s="31" t="s">
        <v>190</v>
      </c>
      <c r="E7" s="31" t="s">
        <v>39</v>
      </c>
      <c r="F7" s="31" t="s">
        <v>238</v>
      </c>
      <c r="G7" s="31" t="s">
        <v>33</v>
      </c>
      <c r="H7" s="40">
        <v>43082</v>
      </c>
      <c r="I7" s="40">
        <f>IF(ALL_PROD_RISK3[[#This Row],[MATURITY]]='INPUT_BONDS (2)'!$AM$2,'INPUT_BONDS (2)'!$AN$2,ALL_PROD_RISK3[[#This Row],[MATURITY]])</f>
        <v>45639</v>
      </c>
      <c r="J7" s="32">
        <v>0.02</v>
      </c>
      <c r="K7" s="36"/>
      <c r="L7" s="31">
        <v>4</v>
      </c>
      <c r="M7" s="31" t="s">
        <v>40</v>
      </c>
      <c r="N7" s="31" t="s">
        <v>159</v>
      </c>
      <c r="O7" s="31" t="s">
        <v>160</v>
      </c>
      <c r="P7" s="31" t="s">
        <v>191</v>
      </c>
      <c r="Q7" s="31">
        <v>1</v>
      </c>
      <c r="R7" s="31" t="s">
        <v>192</v>
      </c>
      <c r="S7" s="31">
        <v>5.0000000000000001E-3</v>
      </c>
      <c r="T7" s="31">
        <v>0.02</v>
      </c>
      <c r="W7" s="31" t="s">
        <v>35</v>
      </c>
      <c r="X7" s="31">
        <v>1</v>
      </c>
      <c r="Y7" s="31" t="s">
        <v>146</v>
      </c>
      <c r="Z7" s="31" t="s">
        <v>38</v>
      </c>
      <c r="AB7" s="37">
        <f ca="1">(ALL_PROD_RISK6[[#This Row],[MATURITY]]-TODAY())/365</f>
        <v>0.79178082191780819</v>
      </c>
      <c r="AC7" s="38" t="e">
        <f>_xlfn.XLOOKUP(ALL_PROD_RISK6[[#This Row],[Rank]],[1]!RANKtbl[Rank],[1]!RANKtbl[STEPS])</f>
        <v>#REF!</v>
      </c>
      <c r="AD7" s="38">
        <f>IF(ALL_PROD_RISK6[[#This Row],[RATING]]="AAA",-7,)</f>
        <v>0</v>
      </c>
      <c r="AE7" s="38"/>
      <c r="AF7" s="38"/>
      <c r="AG7" s="38"/>
      <c r="AH7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7" s="39" t="e">
        <f>IF(ALL_PROD_RISK6[[#This Row],[C_INDEX]]&lt;1,"AAA",_xlfn.XLOOKUP(ALL_PROD_RISK6[[#This Row],[C_INDEX]],[1]!CS_RATING[INDEX],[1]!CS_RATING[RATING]))</f>
        <v>#REF!</v>
      </c>
      <c r="AJ7" s="21">
        <v>0</v>
      </c>
    </row>
    <row r="8" spans="1:36" x14ac:dyDescent="0.2">
      <c r="A8" s="31">
        <v>1</v>
      </c>
      <c r="B8" s="31" t="s">
        <v>239</v>
      </c>
      <c r="C8" s="31" t="s">
        <v>240</v>
      </c>
      <c r="D8" s="31" t="s">
        <v>241</v>
      </c>
      <c r="E8" s="31" t="s">
        <v>39</v>
      </c>
      <c r="F8" s="31" t="s">
        <v>238</v>
      </c>
      <c r="G8" s="31" t="s">
        <v>33</v>
      </c>
      <c r="H8" s="40">
        <v>42660</v>
      </c>
      <c r="I8" s="40">
        <f>IF(ALL_PROD_RISK3[[#This Row],[MATURITY]]='INPUT_BONDS (2)'!$AM$2,'INPUT_BONDS (2)'!$AN$2,ALL_PROD_RISK3[[#This Row],[MATURITY]])</f>
        <v>45216</v>
      </c>
      <c r="J8" s="32">
        <v>1.4999999999999999E-2</v>
      </c>
      <c r="K8" s="36"/>
      <c r="L8" s="31">
        <v>1</v>
      </c>
      <c r="M8" s="31" t="s">
        <v>40</v>
      </c>
      <c r="N8" s="31" t="s">
        <v>159</v>
      </c>
      <c r="O8" s="31" t="s">
        <v>160</v>
      </c>
      <c r="P8" s="31" t="s">
        <v>34</v>
      </c>
      <c r="W8" s="31" t="s">
        <v>212</v>
      </c>
      <c r="X8" s="31">
        <v>1</v>
      </c>
      <c r="Y8" s="31" t="s">
        <v>146</v>
      </c>
      <c r="Z8" s="31" t="s">
        <v>38</v>
      </c>
      <c r="AB8" s="37">
        <f ca="1">(ALL_PROD_RISK6[[#This Row],[MATURITY]]-TODAY())/365</f>
        <v>-0.36712328767123287</v>
      </c>
      <c r="AC8" s="38" t="e">
        <f>_xlfn.XLOOKUP(ALL_PROD_RISK6[[#This Row],[Rank]],[1]!RANKtbl[Rank],[1]!RANKtbl[STEPS])</f>
        <v>#REF!</v>
      </c>
      <c r="AD8" s="38">
        <f>IF(ALL_PROD_RISK6[[#This Row],[RATING]]="AAA",-7,)</f>
        <v>0</v>
      </c>
      <c r="AE8" s="38"/>
      <c r="AF8" s="38"/>
      <c r="AG8" s="38"/>
      <c r="AH8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8" s="39" t="e">
        <f>IF(ALL_PROD_RISK6[[#This Row],[C_INDEX]]&lt;1,"AAA",_xlfn.XLOOKUP(ALL_PROD_RISK6[[#This Row],[C_INDEX]],[1]!CS_RATING[INDEX],[1]!CS_RATING[RATING]))</f>
        <v>#REF!</v>
      </c>
      <c r="AJ8" s="21">
        <v>0</v>
      </c>
    </row>
    <row r="9" spans="1:36" x14ac:dyDescent="0.2">
      <c r="A9" s="31">
        <v>1</v>
      </c>
      <c r="B9" s="31" t="s">
        <v>193</v>
      </c>
      <c r="C9" s="31" t="s">
        <v>194</v>
      </c>
      <c r="D9" s="31" t="s">
        <v>195</v>
      </c>
      <c r="E9" s="31" t="s">
        <v>39</v>
      </c>
      <c r="F9" s="31" t="s">
        <v>238</v>
      </c>
      <c r="G9" s="31" t="s">
        <v>33</v>
      </c>
      <c r="H9" s="40">
        <v>43349</v>
      </c>
      <c r="I9" s="40">
        <f>IF(ALL_PROD_RISK3[[#This Row],[MATURITY]]='INPUT_BONDS (2)'!$AM$2,'INPUT_BONDS (2)'!$AN$2,ALL_PROD_RISK3[[#This Row],[MATURITY]])</f>
        <v>45910</v>
      </c>
      <c r="J9" s="32">
        <v>0.03</v>
      </c>
      <c r="K9" s="36"/>
      <c r="L9" s="31">
        <v>4</v>
      </c>
      <c r="M9" s="31" t="s">
        <v>40</v>
      </c>
      <c r="N9" s="31" t="s">
        <v>159</v>
      </c>
      <c r="O9" s="31" t="s">
        <v>160</v>
      </c>
      <c r="P9" s="31" t="s">
        <v>191</v>
      </c>
      <c r="Q9" s="31">
        <v>1</v>
      </c>
      <c r="R9" s="31" t="s">
        <v>192</v>
      </c>
      <c r="S9" s="31">
        <v>7.4999999999999997E-3</v>
      </c>
      <c r="T9" s="31">
        <v>0.03</v>
      </c>
      <c r="W9" s="31" t="s">
        <v>35</v>
      </c>
      <c r="X9" s="31">
        <v>1</v>
      </c>
      <c r="Y9" s="31" t="s">
        <v>146</v>
      </c>
      <c r="Z9" s="31" t="s">
        <v>38</v>
      </c>
      <c r="AB9" s="37">
        <f ca="1">(ALL_PROD_RISK6[[#This Row],[MATURITY]]-TODAY())/365</f>
        <v>1.5342465753424657</v>
      </c>
      <c r="AC9" s="38" t="e">
        <f>_xlfn.XLOOKUP(ALL_PROD_RISK6[[#This Row],[Rank]],[1]!RANKtbl[Rank],[1]!RANKtbl[STEPS])</f>
        <v>#REF!</v>
      </c>
      <c r="AD9" s="38">
        <f>IF(ALL_PROD_RISK6[[#This Row],[RATING]]="AAA",-7,)</f>
        <v>0</v>
      </c>
      <c r="AE9" s="38"/>
      <c r="AF9" s="38"/>
      <c r="AG9" s="38"/>
      <c r="AH9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9" s="39" t="e">
        <f>IF(ALL_PROD_RISK6[[#This Row],[C_INDEX]]&lt;1,"AAA",_xlfn.XLOOKUP(ALL_PROD_RISK6[[#This Row],[C_INDEX]],[1]!CS_RATING[INDEX],[1]!CS_RATING[RATING]))</f>
        <v>#REF!</v>
      </c>
      <c r="AJ9" s="21">
        <v>0</v>
      </c>
    </row>
    <row r="10" spans="1:36" x14ac:dyDescent="0.2">
      <c r="A10" s="31">
        <v>1</v>
      </c>
      <c r="B10" s="31" t="s">
        <v>242</v>
      </c>
      <c r="C10" s="31" t="s">
        <v>194</v>
      </c>
      <c r="D10" s="31" t="s">
        <v>195</v>
      </c>
      <c r="E10" s="31" t="s">
        <v>39</v>
      </c>
      <c r="F10" s="31" t="s">
        <v>238</v>
      </c>
      <c r="G10" s="31" t="s">
        <v>33</v>
      </c>
      <c r="H10" s="40">
        <v>43433</v>
      </c>
      <c r="I10" s="40">
        <f>IF(ALL_PROD_RISK3[[#This Row],[MATURITY]]='INPUT_BONDS (2)'!$AM$2,'INPUT_BONDS (2)'!$AN$2,ALL_PROD_RISK3[[#This Row],[MATURITY]])</f>
        <v>46003</v>
      </c>
      <c r="J10" s="32">
        <v>0.03</v>
      </c>
      <c r="K10" s="36"/>
      <c r="L10" s="31">
        <v>4</v>
      </c>
      <c r="M10" s="31" t="s">
        <v>40</v>
      </c>
      <c r="N10" s="31" t="s">
        <v>159</v>
      </c>
      <c r="O10" s="31" t="s">
        <v>160</v>
      </c>
      <c r="P10" s="31" t="s">
        <v>34</v>
      </c>
      <c r="W10" s="31" t="s">
        <v>35</v>
      </c>
      <c r="X10" s="31">
        <v>1</v>
      </c>
      <c r="Y10" s="31" t="s">
        <v>146</v>
      </c>
      <c r="Z10" s="31" t="s">
        <v>38</v>
      </c>
      <c r="AB10" s="37">
        <f ca="1">(ALL_PROD_RISK6[[#This Row],[MATURITY]]-TODAY())/365</f>
        <v>1.789041095890411</v>
      </c>
      <c r="AC10" s="38" t="e">
        <f>_xlfn.XLOOKUP(ALL_PROD_RISK6[[#This Row],[Rank]],[1]!RANKtbl[Rank],[1]!RANKtbl[STEPS])</f>
        <v>#REF!</v>
      </c>
      <c r="AD10" s="38">
        <f>IF(ALL_PROD_RISK6[[#This Row],[RATING]]="AAA",-7,)</f>
        <v>0</v>
      </c>
      <c r="AE10" s="38"/>
      <c r="AF10" s="38"/>
      <c r="AG10" s="38"/>
      <c r="AH10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10" s="39" t="e">
        <f>IF(ALL_PROD_RISK6[[#This Row],[C_INDEX]]&lt;1,"AAA",_xlfn.XLOOKUP(ALL_PROD_RISK6[[#This Row],[C_INDEX]],[1]!CS_RATING[INDEX],[1]!CS_RATING[RATING]))</f>
        <v>#REF!</v>
      </c>
      <c r="AJ10" s="21">
        <v>0</v>
      </c>
    </row>
    <row r="11" spans="1:36" x14ac:dyDescent="0.2">
      <c r="A11" s="31">
        <v>1</v>
      </c>
      <c r="B11" s="31">
        <v>283290</v>
      </c>
      <c r="C11" s="31" t="s">
        <v>243</v>
      </c>
      <c r="D11" s="31" t="s">
        <v>32</v>
      </c>
      <c r="E11" s="31" t="s">
        <v>41</v>
      </c>
      <c r="F11" s="31" t="s">
        <v>232</v>
      </c>
      <c r="G11" s="31" t="s">
        <v>33</v>
      </c>
      <c r="H11" s="40">
        <v>45191</v>
      </c>
      <c r="I11" s="40">
        <f>IF(ALL_PROD_RISK3[[#This Row],[MATURITY]]='INPUT_BONDS (2)'!$AM$2,'INPUT_BONDS (2)'!$AN$2,ALL_PROD_RISK3[[#This Row],[MATURITY]])</f>
        <v>45283</v>
      </c>
      <c r="J11" s="32">
        <v>1.4999999999999999E-2</v>
      </c>
      <c r="K11" s="36"/>
      <c r="L11" s="31">
        <v>1</v>
      </c>
      <c r="M11" s="31" t="s">
        <v>41</v>
      </c>
      <c r="N11" s="31" t="s">
        <v>159</v>
      </c>
      <c r="O11" s="31" t="s">
        <v>160</v>
      </c>
      <c r="P11" s="31" t="s">
        <v>34</v>
      </c>
      <c r="W11" s="31" t="s">
        <v>35</v>
      </c>
      <c r="X11" s="31">
        <v>1</v>
      </c>
      <c r="Y11" s="31" t="s">
        <v>146</v>
      </c>
      <c r="Z11" s="31" t="s">
        <v>38</v>
      </c>
      <c r="AB11" s="37">
        <f ca="1">(ALL_PROD_RISK6[[#This Row],[MATURITY]]-TODAY())/365</f>
        <v>-0.18356164383561643</v>
      </c>
      <c r="AC11" s="38" t="e">
        <f>_xlfn.XLOOKUP(ALL_PROD_RISK6[[#This Row],[Rank]],[1]!RANKtbl[Rank],[1]!RANKtbl[STEPS])</f>
        <v>#REF!</v>
      </c>
      <c r="AD11" s="38">
        <f>IF(ALL_PROD_RISK6[[#This Row],[RATING]]="AAA",-7,)</f>
        <v>0</v>
      </c>
      <c r="AE11" s="38"/>
      <c r="AF11" s="38"/>
      <c r="AG11" s="38"/>
      <c r="AH11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11" s="39" t="e">
        <f>IF(ALL_PROD_RISK6[[#This Row],[C_INDEX]]&lt;1,"AAA",_xlfn.XLOOKUP(ALL_PROD_RISK6[[#This Row],[C_INDEX]],[1]!CS_RATING[INDEX],[1]!CS_RATING[RATING]))</f>
        <v>#REF!</v>
      </c>
      <c r="AJ11" s="21">
        <v>0</v>
      </c>
    </row>
    <row r="12" spans="1:36" x14ac:dyDescent="0.2">
      <c r="A12" s="31">
        <v>1</v>
      </c>
      <c r="B12" s="31">
        <v>283110</v>
      </c>
      <c r="C12" s="31" t="s">
        <v>244</v>
      </c>
      <c r="D12" s="31" t="s">
        <v>32</v>
      </c>
      <c r="E12" s="31" t="s">
        <v>42</v>
      </c>
      <c r="F12" s="31" t="s">
        <v>232</v>
      </c>
      <c r="G12" s="31" t="s">
        <v>33</v>
      </c>
      <c r="H12" s="40">
        <v>45191</v>
      </c>
      <c r="I12" s="40">
        <f>IF(ALL_PROD_RISK3[[#This Row],[MATURITY]]='INPUT_BONDS (2)'!$AM$2,'INPUT_BONDS (2)'!$AN$2,ALL_PROD_RISK3[[#This Row],[MATURITY]])</f>
        <v>45283</v>
      </c>
      <c r="J12" s="32">
        <v>7.4999999999999997E-3</v>
      </c>
      <c r="K12" s="36"/>
      <c r="L12" s="31">
        <v>4</v>
      </c>
      <c r="M12" s="31" t="s">
        <v>43</v>
      </c>
      <c r="N12" s="31" t="s">
        <v>159</v>
      </c>
      <c r="O12" s="31" t="s">
        <v>160</v>
      </c>
      <c r="P12" s="31" t="s">
        <v>34</v>
      </c>
      <c r="W12" s="31" t="s">
        <v>35</v>
      </c>
      <c r="X12" s="31">
        <v>1</v>
      </c>
      <c r="Y12" s="31" t="s">
        <v>150</v>
      </c>
      <c r="Z12" s="31" t="s">
        <v>38</v>
      </c>
      <c r="AB12" s="37">
        <f ca="1">(ALL_PROD_RISK6[[#This Row],[MATURITY]]-TODAY())/365</f>
        <v>-0.18356164383561643</v>
      </c>
      <c r="AC12" s="38" t="e">
        <f>_xlfn.XLOOKUP(ALL_PROD_RISK6[[#This Row],[Rank]],[1]!RANKtbl[Rank],[1]!RANKtbl[STEPS])</f>
        <v>#REF!</v>
      </c>
      <c r="AD12" s="38">
        <f>IF(ALL_PROD_RISK6[[#This Row],[RATING]]="AAA",-7,)</f>
        <v>0</v>
      </c>
      <c r="AE12" s="38"/>
      <c r="AF12" s="38"/>
      <c r="AG12" s="38"/>
      <c r="AH12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12" s="39" t="e">
        <f>IF(ALL_PROD_RISK6[[#This Row],[C_INDEX]]&lt;1,"AAA",_xlfn.XLOOKUP(ALL_PROD_RISK6[[#This Row],[C_INDEX]],[1]!CS_RATING[INDEX],[1]!CS_RATING[RATING]))</f>
        <v>#REF!</v>
      </c>
      <c r="AJ12" s="21">
        <v>0</v>
      </c>
    </row>
    <row r="13" spans="1:36" x14ac:dyDescent="0.2">
      <c r="A13" s="31">
        <v>1</v>
      </c>
      <c r="B13" s="31">
        <v>283263</v>
      </c>
      <c r="C13" s="31" t="s">
        <v>245</v>
      </c>
      <c r="D13" s="31" t="s">
        <v>32</v>
      </c>
      <c r="E13" s="31" t="s">
        <v>42</v>
      </c>
      <c r="F13" s="31" t="s">
        <v>232</v>
      </c>
      <c r="G13" s="31" t="s">
        <v>33</v>
      </c>
      <c r="H13" s="40">
        <v>45191</v>
      </c>
      <c r="I13" s="40">
        <f>IF(ALL_PROD_RISK3[[#This Row],[MATURITY]]='INPUT_BONDS (2)'!$AM$2,'INPUT_BONDS (2)'!$AN$2,ALL_PROD_RISK3[[#This Row],[MATURITY]])</f>
        <v>45283</v>
      </c>
      <c r="J13" s="32">
        <v>7.4999999999999997E-3</v>
      </c>
      <c r="K13" s="36"/>
      <c r="L13" s="31">
        <v>4</v>
      </c>
      <c r="M13" s="31" t="s">
        <v>43</v>
      </c>
      <c r="N13" s="31" t="s">
        <v>159</v>
      </c>
      <c r="O13" s="31" t="s">
        <v>160</v>
      </c>
      <c r="P13" s="31" t="s">
        <v>34</v>
      </c>
      <c r="W13" s="31" t="s">
        <v>35</v>
      </c>
      <c r="X13" s="31">
        <v>1</v>
      </c>
      <c r="Y13" s="31" t="s">
        <v>150</v>
      </c>
      <c r="Z13" s="31" t="s">
        <v>38</v>
      </c>
      <c r="AB13" s="37">
        <f ca="1">(ALL_PROD_RISK6[[#This Row],[MATURITY]]-TODAY())/365</f>
        <v>-0.18356164383561643</v>
      </c>
      <c r="AC13" s="38" t="e">
        <f>_xlfn.XLOOKUP(ALL_PROD_RISK6[[#This Row],[Rank]],[1]!RANKtbl[Rank],[1]!RANKtbl[STEPS])</f>
        <v>#REF!</v>
      </c>
      <c r="AD13" s="38">
        <f>IF(ALL_PROD_RISK6[[#This Row],[RATING]]="AAA",-7,)</f>
        <v>0</v>
      </c>
      <c r="AE13" s="38"/>
      <c r="AF13" s="38"/>
      <c r="AG13" s="38"/>
      <c r="AH13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13" s="39" t="e">
        <f>IF(ALL_PROD_RISK6[[#This Row],[C_INDEX]]&lt;1,"AAA",_xlfn.XLOOKUP(ALL_PROD_RISK6[[#This Row],[C_INDEX]],[1]!CS_RATING[INDEX],[1]!CS_RATING[RATING]))</f>
        <v>#REF!</v>
      </c>
      <c r="AJ13" s="21">
        <v>0</v>
      </c>
    </row>
    <row r="14" spans="1:36" x14ac:dyDescent="0.2">
      <c r="A14" s="31">
        <v>1</v>
      </c>
      <c r="B14" s="31">
        <v>283264</v>
      </c>
      <c r="C14" s="31" t="s">
        <v>246</v>
      </c>
      <c r="D14" s="31" t="s">
        <v>32</v>
      </c>
      <c r="E14" s="31" t="s">
        <v>42</v>
      </c>
      <c r="F14" s="31" t="s">
        <v>232</v>
      </c>
      <c r="G14" s="31" t="s">
        <v>33</v>
      </c>
      <c r="H14" s="40">
        <v>45191</v>
      </c>
      <c r="I14" s="40">
        <f>IF(ALL_PROD_RISK3[[#This Row],[MATURITY]]='INPUT_BONDS (2)'!$AM$2,'INPUT_BONDS (2)'!$AN$2,ALL_PROD_RISK3[[#This Row],[MATURITY]])</f>
        <v>45283</v>
      </c>
      <c r="J14" s="32">
        <v>7.4999999999999997E-3</v>
      </c>
      <c r="K14" s="36"/>
      <c r="L14" s="31">
        <v>4</v>
      </c>
      <c r="M14" s="31" t="s">
        <v>43</v>
      </c>
      <c r="N14" s="31" t="s">
        <v>159</v>
      </c>
      <c r="O14" s="31" t="s">
        <v>160</v>
      </c>
      <c r="P14" s="31" t="s">
        <v>34</v>
      </c>
      <c r="W14" s="31" t="s">
        <v>35</v>
      </c>
      <c r="X14" s="31">
        <v>1</v>
      </c>
      <c r="Y14" s="31" t="s">
        <v>150</v>
      </c>
      <c r="Z14" s="31" t="s">
        <v>38</v>
      </c>
      <c r="AB14" s="37">
        <f ca="1">(ALL_PROD_RISK6[[#This Row],[MATURITY]]-TODAY())/365</f>
        <v>-0.18356164383561643</v>
      </c>
      <c r="AC14" s="38" t="e">
        <f>_xlfn.XLOOKUP(ALL_PROD_RISK6[[#This Row],[Rank]],[1]!RANKtbl[Rank],[1]!RANKtbl[STEPS])</f>
        <v>#REF!</v>
      </c>
      <c r="AD14" s="38">
        <f>IF(ALL_PROD_RISK6[[#This Row],[RATING]]="AAA",-7,)</f>
        <v>0</v>
      </c>
      <c r="AE14" s="38"/>
      <c r="AF14" s="38"/>
      <c r="AG14" s="38"/>
      <c r="AH14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14" s="39" t="e">
        <f>IF(ALL_PROD_RISK6[[#This Row],[C_INDEX]]&lt;1,"AAA",_xlfn.XLOOKUP(ALL_PROD_RISK6[[#This Row],[C_INDEX]],[1]!CS_RATING[INDEX],[1]!CS_RATING[RATING]))</f>
        <v>#REF!</v>
      </c>
      <c r="AJ14" s="21">
        <v>0</v>
      </c>
    </row>
    <row r="15" spans="1:36" x14ac:dyDescent="0.2">
      <c r="A15" s="31">
        <v>1</v>
      </c>
      <c r="B15" s="31">
        <v>283112</v>
      </c>
      <c r="C15" s="31" t="s">
        <v>247</v>
      </c>
      <c r="D15" s="31" t="s">
        <v>32</v>
      </c>
      <c r="E15" s="31" t="s">
        <v>42</v>
      </c>
      <c r="F15" s="31" t="s">
        <v>232</v>
      </c>
      <c r="G15" s="31" t="s">
        <v>33</v>
      </c>
      <c r="H15" s="40">
        <v>45191</v>
      </c>
      <c r="I15" s="40">
        <f>IF(ALL_PROD_RISK3[[#This Row],[MATURITY]]='INPUT_BONDS (2)'!$AM$2,'INPUT_BONDS (2)'!$AN$2,ALL_PROD_RISK3[[#This Row],[MATURITY]])</f>
        <v>45283</v>
      </c>
      <c r="J15" s="32">
        <v>7.4999999999999997E-3</v>
      </c>
      <c r="K15" s="36"/>
      <c r="L15" s="31">
        <v>4</v>
      </c>
      <c r="M15" s="31" t="s">
        <v>43</v>
      </c>
      <c r="N15" s="31" t="s">
        <v>159</v>
      </c>
      <c r="O15" s="31" t="s">
        <v>160</v>
      </c>
      <c r="P15" s="31" t="s">
        <v>34</v>
      </c>
      <c r="W15" s="31" t="s">
        <v>35</v>
      </c>
      <c r="X15" s="31">
        <v>1</v>
      </c>
      <c r="Y15" s="31" t="s">
        <v>150</v>
      </c>
      <c r="Z15" s="31" t="s">
        <v>38</v>
      </c>
      <c r="AB15" s="37">
        <f ca="1">(ALL_PROD_RISK6[[#This Row],[MATURITY]]-TODAY())/365</f>
        <v>-0.18356164383561643</v>
      </c>
      <c r="AC15" s="38" t="e">
        <f>_xlfn.XLOOKUP(ALL_PROD_RISK6[[#This Row],[Rank]],[1]!RANKtbl[Rank],[1]!RANKtbl[STEPS])</f>
        <v>#REF!</v>
      </c>
      <c r="AD15" s="38">
        <f>IF(ALL_PROD_RISK6[[#This Row],[RATING]]="AAA",-7,)</f>
        <v>0</v>
      </c>
      <c r="AE15" s="38"/>
      <c r="AF15" s="38"/>
      <c r="AG15" s="38"/>
      <c r="AH15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15" s="39" t="e">
        <f>IF(ALL_PROD_RISK6[[#This Row],[C_INDEX]]&lt;1,"AAA",_xlfn.XLOOKUP(ALL_PROD_RISK6[[#This Row],[C_INDEX]],[1]!CS_RATING[INDEX],[1]!CS_RATING[RATING]))</f>
        <v>#REF!</v>
      </c>
      <c r="AJ15" s="21">
        <v>0</v>
      </c>
    </row>
    <row r="16" spans="1:36" x14ac:dyDescent="0.2">
      <c r="A16" s="31">
        <v>1</v>
      </c>
      <c r="B16" s="31">
        <v>283132</v>
      </c>
      <c r="C16" s="31" t="s">
        <v>248</v>
      </c>
      <c r="D16" s="31" t="s">
        <v>32</v>
      </c>
      <c r="E16" s="31" t="s">
        <v>42</v>
      </c>
      <c r="F16" s="31" t="s">
        <v>232</v>
      </c>
      <c r="G16" s="31" t="s">
        <v>33</v>
      </c>
      <c r="H16" s="40">
        <v>45191</v>
      </c>
      <c r="I16" s="40">
        <f>IF(ALL_PROD_RISK3[[#This Row],[MATURITY]]='INPUT_BONDS (2)'!$AM$2,'INPUT_BONDS (2)'!$AN$2,ALL_PROD_RISK3[[#This Row],[MATURITY]])</f>
        <v>45283</v>
      </c>
      <c r="J16" s="32">
        <v>7.4999999999999997E-3</v>
      </c>
      <c r="K16" s="36"/>
      <c r="L16" s="31">
        <v>1</v>
      </c>
      <c r="M16" s="31" t="s">
        <v>43</v>
      </c>
      <c r="N16" s="31" t="s">
        <v>159</v>
      </c>
      <c r="O16" s="31" t="s">
        <v>160</v>
      </c>
      <c r="P16" s="31" t="s">
        <v>34</v>
      </c>
      <c r="W16" s="31" t="s">
        <v>35</v>
      </c>
      <c r="X16" s="31">
        <v>1</v>
      </c>
      <c r="Y16" s="31" t="s">
        <v>150</v>
      </c>
      <c r="Z16" s="31" t="s">
        <v>38</v>
      </c>
      <c r="AB16" s="37">
        <f ca="1">(ALL_PROD_RISK6[[#This Row],[MATURITY]]-TODAY())/365</f>
        <v>-0.18356164383561643</v>
      </c>
      <c r="AC16" s="38" t="e">
        <f>_xlfn.XLOOKUP(ALL_PROD_RISK6[[#This Row],[Rank]],[1]!RANKtbl[Rank],[1]!RANKtbl[STEPS])</f>
        <v>#REF!</v>
      </c>
      <c r="AD16" s="38">
        <f>IF(ALL_PROD_RISK6[[#This Row],[RATING]]="AAA",-7,)</f>
        <v>0</v>
      </c>
      <c r="AE16" s="38"/>
      <c r="AF16" s="38"/>
      <c r="AG16" s="38"/>
      <c r="AH16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16" s="39" t="e">
        <f>IF(ALL_PROD_RISK6[[#This Row],[C_INDEX]]&lt;1,"AAA",_xlfn.XLOOKUP(ALL_PROD_RISK6[[#This Row],[C_INDEX]],[1]!CS_RATING[INDEX],[1]!CS_RATING[RATING]))</f>
        <v>#REF!</v>
      </c>
      <c r="AJ16" s="21">
        <v>0</v>
      </c>
    </row>
    <row r="17" spans="1:36" x14ac:dyDescent="0.2">
      <c r="A17" s="31">
        <v>1</v>
      </c>
      <c r="B17" s="31" t="s">
        <v>196</v>
      </c>
      <c r="C17" s="31" t="s">
        <v>197</v>
      </c>
      <c r="D17" s="31" t="s">
        <v>198</v>
      </c>
      <c r="E17" s="31" t="s">
        <v>42</v>
      </c>
      <c r="F17" s="31" t="s">
        <v>238</v>
      </c>
      <c r="G17" s="31" t="s">
        <v>33</v>
      </c>
      <c r="H17" s="40">
        <v>43236</v>
      </c>
      <c r="I17" s="40">
        <f>IF(ALL_PROD_RISK3[[#This Row],[MATURITY]]='INPUT_BONDS (2)'!$AM$2,'INPUT_BONDS (2)'!$AN$2,ALL_PROD_RISK3[[#This Row],[MATURITY]])</f>
        <v>45800</v>
      </c>
      <c r="J17" s="32">
        <v>2.3E-2</v>
      </c>
      <c r="K17" s="36"/>
      <c r="L17" s="31">
        <v>4</v>
      </c>
      <c r="M17" s="31" t="s">
        <v>43</v>
      </c>
      <c r="N17" s="31" t="s">
        <v>159</v>
      </c>
      <c r="O17" s="31" t="s">
        <v>160</v>
      </c>
      <c r="P17" s="31" t="s">
        <v>191</v>
      </c>
      <c r="Q17" s="31">
        <v>1</v>
      </c>
      <c r="R17" s="31" t="s">
        <v>192</v>
      </c>
      <c r="S17" s="31">
        <v>8.5000000000000006E-3</v>
      </c>
      <c r="T17" s="31">
        <v>2.3E-2</v>
      </c>
      <c r="W17" s="31" t="s">
        <v>35</v>
      </c>
      <c r="X17" s="31">
        <v>1</v>
      </c>
      <c r="Y17" s="31" t="s">
        <v>150</v>
      </c>
      <c r="Z17" s="31" t="s">
        <v>38</v>
      </c>
      <c r="AB17" s="37">
        <f ca="1">(ALL_PROD_RISK6[[#This Row],[MATURITY]]-TODAY())/365</f>
        <v>1.2328767123287672</v>
      </c>
      <c r="AC17" s="38" t="e">
        <f>_xlfn.XLOOKUP(ALL_PROD_RISK6[[#This Row],[Rank]],[1]!RANKtbl[Rank],[1]!RANKtbl[STEPS])</f>
        <v>#REF!</v>
      </c>
      <c r="AD17" s="38">
        <f>IF(ALL_PROD_RISK6[[#This Row],[RATING]]="AAA",-7,)</f>
        <v>0</v>
      </c>
      <c r="AE17" s="38"/>
      <c r="AF17" s="38"/>
      <c r="AG17" s="38"/>
      <c r="AH17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17" s="39" t="e">
        <f>IF(ALL_PROD_RISK6[[#This Row],[C_INDEX]]&lt;1,"AAA",_xlfn.XLOOKUP(ALL_PROD_RISK6[[#This Row],[C_INDEX]],[1]!CS_RATING[INDEX],[1]!CS_RATING[RATING]))</f>
        <v>#REF!</v>
      </c>
      <c r="AJ17" s="21">
        <v>0</v>
      </c>
    </row>
    <row r="18" spans="1:36" x14ac:dyDescent="0.2">
      <c r="A18" s="31">
        <v>1</v>
      </c>
      <c r="B18" s="31">
        <v>283100</v>
      </c>
      <c r="C18" s="31" t="s">
        <v>249</v>
      </c>
      <c r="D18" s="31" t="s">
        <v>32</v>
      </c>
      <c r="E18" s="31" t="s">
        <v>44</v>
      </c>
      <c r="F18" s="31" t="s">
        <v>232</v>
      </c>
      <c r="G18" s="31" t="s">
        <v>33</v>
      </c>
      <c r="H18" s="40">
        <v>45191</v>
      </c>
      <c r="I18" s="40">
        <f>IF(ALL_PROD_RISK3[[#This Row],[MATURITY]]='INPUT_BONDS (2)'!$AM$2,'INPUT_BONDS (2)'!$AN$2,ALL_PROD_RISK3[[#This Row],[MATURITY]])</f>
        <v>45283</v>
      </c>
      <c r="J18" s="32">
        <v>7.4999999999999997E-3</v>
      </c>
      <c r="K18" s="36"/>
      <c r="L18" s="31">
        <v>4</v>
      </c>
      <c r="M18" s="31" t="s">
        <v>45</v>
      </c>
      <c r="N18" s="31" t="s">
        <v>159</v>
      </c>
      <c r="O18" s="31" t="s">
        <v>160</v>
      </c>
      <c r="P18" s="31" t="s">
        <v>34</v>
      </c>
      <c r="W18" s="31" t="s">
        <v>35</v>
      </c>
      <c r="X18" s="31">
        <v>1</v>
      </c>
      <c r="Y18" s="31" t="s">
        <v>148</v>
      </c>
      <c r="Z18" s="31" t="s">
        <v>38</v>
      </c>
      <c r="AB18" s="37">
        <f ca="1">(ALL_PROD_RISK6[[#This Row],[MATURITY]]-TODAY())/365</f>
        <v>-0.18356164383561643</v>
      </c>
      <c r="AC18" s="38" t="e">
        <f>_xlfn.XLOOKUP(ALL_PROD_RISK6[[#This Row],[Rank]],[1]!RANKtbl[Rank],[1]!RANKtbl[STEPS])</f>
        <v>#REF!</v>
      </c>
      <c r="AD18" s="38">
        <f>IF(ALL_PROD_RISK6[[#This Row],[RATING]]="AAA",-7,)</f>
        <v>0</v>
      </c>
      <c r="AE18" s="38"/>
      <c r="AF18" s="38"/>
      <c r="AG18" s="38"/>
      <c r="AH18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18" s="39" t="e">
        <f>IF(ALL_PROD_RISK6[[#This Row],[C_INDEX]]&lt;1,"AAA",_xlfn.XLOOKUP(ALL_PROD_RISK6[[#This Row],[C_INDEX]],[1]!CS_RATING[INDEX],[1]!CS_RATING[RATING]))</f>
        <v>#REF!</v>
      </c>
      <c r="AJ18" s="21">
        <v>0</v>
      </c>
    </row>
    <row r="19" spans="1:36" x14ac:dyDescent="0.2">
      <c r="A19" s="31">
        <v>1</v>
      </c>
      <c r="B19" s="31" t="s">
        <v>46</v>
      </c>
      <c r="C19" s="31" t="s">
        <v>47</v>
      </c>
      <c r="D19" s="31" t="s">
        <v>48</v>
      </c>
      <c r="E19" s="31" t="s">
        <v>44</v>
      </c>
      <c r="F19" s="31" t="s">
        <v>238</v>
      </c>
      <c r="G19" s="31" t="s">
        <v>33</v>
      </c>
      <c r="H19" s="40">
        <v>43158</v>
      </c>
      <c r="I19" s="40">
        <f>IF(ALL_PROD_RISK3[[#This Row],[MATURITY]]='INPUT_BONDS (2)'!$AM$2,'INPUT_BONDS (2)'!$AN$2,ALL_PROD_RISK3[[#This Row],[MATURITY]])</f>
        <v>45324</v>
      </c>
      <c r="J19" s="32">
        <v>5.0000000000000001E-3</v>
      </c>
      <c r="K19" s="36"/>
      <c r="L19" s="31">
        <v>1</v>
      </c>
      <c r="M19" s="31" t="s">
        <v>45</v>
      </c>
      <c r="N19" s="31" t="s">
        <v>159</v>
      </c>
      <c r="O19" s="31" t="s">
        <v>160</v>
      </c>
      <c r="P19" s="31" t="s">
        <v>34</v>
      </c>
      <c r="W19" s="31" t="s">
        <v>212</v>
      </c>
      <c r="X19" s="31">
        <v>1</v>
      </c>
      <c r="Y19" s="31" t="s">
        <v>148</v>
      </c>
      <c r="Z19" s="31" t="s">
        <v>38</v>
      </c>
      <c r="AA19" s="31" t="s">
        <v>233</v>
      </c>
      <c r="AB19" s="37">
        <f ca="1">(ALL_PROD_RISK6[[#This Row],[MATURITY]]-TODAY())/365</f>
        <v>-7.1232876712328766E-2</v>
      </c>
      <c r="AC19" s="38" t="e">
        <f>_xlfn.XLOOKUP(ALL_PROD_RISK6[[#This Row],[Rank]],[1]!RANKtbl[Rank],[1]!RANKtbl[STEPS])</f>
        <v>#REF!</v>
      </c>
      <c r="AD19" s="38">
        <f>IF(ALL_PROD_RISK6[[#This Row],[RATING]]="AAA",-7,)</f>
        <v>0</v>
      </c>
      <c r="AE19" s="38"/>
      <c r="AF19" s="38"/>
      <c r="AG19" s="38"/>
      <c r="AH19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19" s="39" t="e">
        <f>IF(ALL_PROD_RISK6[[#This Row],[C_INDEX]]&lt;1,"AAA",_xlfn.XLOOKUP(ALL_PROD_RISK6[[#This Row],[C_INDEX]],[1]!CS_RATING[INDEX],[1]!CS_RATING[RATING]))</f>
        <v>#REF!</v>
      </c>
      <c r="AJ19" s="21">
        <v>0</v>
      </c>
    </row>
    <row r="20" spans="1:36" x14ac:dyDescent="0.2">
      <c r="A20" s="31">
        <v>1</v>
      </c>
      <c r="B20" s="31">
        <v>283241</v>
      </c>
      <c r="C20" s="31" t="s">
        <v>250</v>
      </c>
      <c r="D20" s="31" t="s">
        <v>32</v>
      </c>
      <c r="E20" s="31" t="s">
        <v>49</v>
      </c>
      <c r="F20" s="31" t="s">
        <v>232</v>
      </c>
      <c r="G20" s="31" t="s">
        <v>33</v>
      </c>
      <c r="H20" s="40">
        <v>45191</v>
      </c>
      <c r="I20" s="40">
        <f>IF(ALL_PROD_RISK3[[#This Row],[MATURITY]]='INPUT_BONDS (2)'!$AM$2,'INPUT_BONDS (2)'!$AN$2,ALL_PROD_RISK3[[#This Row],[MATURITY]])</f>
        <v>45283</v>
      </c>
      <c r="J20" s="32">
        <v>2.5000000000000001E-3</v>
      </c>
      <c r="K20" s="36"/>
      <c r="L20" s="31">
        <v>4</v>
      </c>
      <c r="M20" s="31" t="s">
        <v>50</v>
      </c>
      <c r="N20" s="31" t="s">
        <v>159</v>
      </c>
      <c r="O20" s="31" t="s">
        <v>160</v>
      </c>
      <c r="P20" s="31" t="s">
        <v>34</v>
      </c>
      <c r="W20" s="31" t="s">
        <v>35</v>
      </c>
      <c r="X20" s="31">
        <v>1</v>
      </c>
      <c r="Y20" s="31" t="s">
        <v>146</v>
      </c>
      <c r="Z20" s="31" t="s">
        <v>38</v>
      </c>
      <c r="AA20" s="31" t="s">
        <v>251</v>
      </c>
      <c r="AB20" s="37">
        <f ca="1">(ALL_PROD_RISK6[[#This Row],[MATURITY]]-TODAY())/365</f>
        <v>-0.18356164383561643</v>
      </c>
      <c r="AC20" s="38" t="e">
        <f>_xlfn.XLOOKUP(ALL_PROD_RISK6[[#This Row],[Rank]],[1]!RANKtbl[Rank],[1]!RANKtbl[STEPS])</f>
        <v>#REF!</v>
      </c>
      <c r="AD20" s="38">
        <f>IF(ALL_PROD_RISK6[[#This Row],[RATING]]="AAA",-7,)</f>
        <v>0</v>
      </c>
      <c r="AE20" s="38"/>
      <c r="AF20" s="38"/>
      <c r="AG20" s="38"/>
      <c r="AH20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20" s="39" t="e">
        <f>IF(ALL_PROD_RISK6[[#This Row],[C_INDEX]]&lt;1,"AAA",_xlfn.XLOOKUP(ALL_PROD_RISK6[[#This Row],[C_INDEX]],[1]!CS_RATING[INDEX],[1]!CS_RATING[RATING]))</f>
        <v>#REF!</v>
      </c>
      <c r="AJ20" s="21">
        <v>0</v>
      </c>
    </row>
    <row r="21" spans="1:36" x14ac:dyDescent="0.2">
      <c r="A21" s="31">
        <v>1</v>
      </c>
      <c r="B21" s="31">
        <v>283246</v>
      </c>
      <c r="C21" s="31" t="s">
        <v>252</v>
      </c>
      <c r="D21" s="31" t="s">
        <v>32</v>
      </c>
      <c r="E21" s="31" t="s">
        <v>49</v>
      </c>
      <c r="F21" s="31" t="s">
        <v>232</v>
      </c>
      <c r="G21" s="31" t="s">
        <v>33</v>
      </c>
      <c r="H21" s="40">
        <v>45191</v>
      </c>
      <c r="I21" s="40">
        <f>IF(ALL_PROD_RISK3[[#This Row],[MATURITY]]='INPUT_BONDS (2)'!$AM$2,'INPUT_BONDS (2)'!$AN$2,ALL_PROD_RISK3[[#This Row],[MATURITY]])</f>
        <v>45283</v>
      </c>
      <c r="J21" s="32">
        <v>0.01</v>
      </c>
      <c r="K21" s="36"/>
      <c r="L21" s="31">
        <v>4</v>
      </c>
      <c r="M21" s="31" t="s">
        <v>50</v>
      </c>
      <c r="N21" s="31" t="s">
        <v>159</v>
      </c>
      <c r="O21" s="31" t="s">
        <v>160</v>
      </c>
      <c r="P21" s="31" t="s">
        <v>34</v>
      </c>
      <c r="W21" s="31" t="s">
        <v>35</v>
      </c>
      <c r="X21" s="31">
        <v>1</v>
      </c>
      <c r="Y21" s="31" t="s">
        <v>146</v>
      </c>
      <c r="Z21" s="31" t="s">
        <v>38</v>
      </c>
      <c r="AB21" s="37">
        <f ca="1">(ALL_PROD_RISK6[[#This Row],[MATURITY]]-TODAY())/365</f>
        <v>-0.18356164383561643</v>
      </c>
      <c r="AC21" s="38" t="e">
        <f>_xlfn.XLOOKUP(ALL_PROD_RISK6[[#This Row],[Rank]],[1]!RANKtbl[Rank],[1]!RANKtbl[STEPS])</f>
        <v>#REF!</v>
      </c>
      <c r="AD21" s="38">
        <f>IF(ALL_PROD_RISK6[[#This Row],[RATING]]="AAA",-7,)</f>
        <v>0</v>
      </c>
      <c r="AE21" s="38"/>
      <c r="AF21" s="38"/>
      <c r="AG21" s="38"/>
      <c r="AH21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21" s="39" t="e">
        <f>IF(ALL_PROD_RISK6[[#This Row],[C_INDEX]]&lt;1,"AAA",_xlfn.XLOOKUP(ALL_PROD_RISK6[[#This Row],[C_INDEX]],[1]!CS_RATING[INDEX],[1]!CS_RATING[RATING]))</f>
        <v>#REF!</v>
      </c>
      <c r="AJ21" s="21">
        <v>0</v>
      </c>
    </row>
    <row r="22" spans="1:36" x14ac:dyDescent="0.2">
      <c r="A22" s="31">
        <v>1</v>
      </c>
      <c r="B22" s="31" t="s">
        <v>253</v>
      </c>
      <c r="C22" s="31" t="s">
        <v>254</v>
      </c>
      <c r="D22" s="31" t="s">
        <v>32</v>
      </c>
      <c r="E22" s="31" t="s">
        <v>49</v>
      </c>
      <c r="F22" s="31" t="s">
        <v>238</v>
      </c>
      <c r="G22" s="31" t="s">
        <v>33</v>
      </c>
      <c r="H22" s="40">
        <v>43598</v>
      </c>
      <c r="I22" s="40">
        <f>IF(ALL_PROD_RISK3[[#This Row],[MATURITY]]='INPUT_BONDS (2)'!$AM$2,'INPUT_BONDS (2)'!$AN$2,ALL_PROD_RISK3[[#This Row],[MATURITY]])</f>
        <v>45272</v>
      </c>
      <c r="J22" s="32">
        <v>6.2500000000000003E-3</v>
      </c>
      <c r="K22" s="36"/>
      <c r="L22" s="31">
        <v>1</v>
      </c>
      <c r="M22" s="31" t="s">
        <v>50</v>
      </c>
      <c r="N22" s="31" t="s">
        <v>159</v>
      </c>
      <c r="O22" s="31" t="s">
        <v>160</v>
      </c>
      <c r="P22" s="31" t="s">
        <v>34</v>
      </c>
      <c r="W22" s="31" t="s">
        <v>35</v>
      </c>
      <c r="X22" s="31">
        <v>1</v>
      </c>
      <c r="Y22" s="31" t="s">
        <v>146</v>
      </c>
      <c r="Z22" s="31" t="s">
        <v>38</v>
      </c>
      <c r="AB22" s="37">
        <f ca="1">(ALL_PROD_RISK6[[#This Row],[MATURITY]]-TODAY())/365</f>
        <v>-0.21369863013698631</v>
      </c>
      <c r="AC22" s="38" t="e">
        <f>_xlfn.XLOOKUP(ALL_PROD_RISK6[[#This Row],[Rank]],[1]!RANKtbl[Rank],[1]!RANKtbl[STEPS])</f>
        <v>#REF!</v>
      </c>
      <c r="AD22" s="38">
        <f>IF(ALL_PROD_RISK6[[#This Row],[RATING]]="AAA",-7,)</f>
        <v>0</v>
      </c>
      <c r="AE22" s="38"/>
      <c r="AF22" s="38"/>
      <c r="AG22" s="38"/>
      <c r="AH22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22" s="39" t="e">
        <f>IF(ALL_PROD_RISK6[[#This Row],[C_INDEX]]&lt;1,"AAA",_xlfn.XLOOKUP(ALL_PROD_RISK6[[#This Row],[C_INDEX]],[1]!CS_RATING[INDEX],[1]!CS_RATING[RATING]))</f>
        <v>#REF!</v>
      </c>
      <c r="AJ22" s="21">
        <v>0</v>
      </c>
    </row>
    <row r="23" spans="1:36" x14ac:dyDescent="0.2">
      <c r="A23" s="31">
        <v>1</v>
      </c>
      <c r="B23" s="31" t="s">
        <v>51</v>
      </c>
      <c r="C23" s="31" t="s">
        <v>52</v>
      </c>
      <c r="D23" s="31" t="s">
        <v>32</v>
      </c>
      <c r="E23" s="31" t="s">
        <v>49</v>
      </c>
      <c r="F23" s="31" t="s">
        <v>238</v>
      </c>
      <c r="G23" s="31" t="s">
        <v>33</v>
      </c>
      <c r="H23" s="40">
        <v>44470</v>
      </c>
      <c r="I23" s="40">
        <f>IF(ALL_PROD_RISK3[[#This Row],[MATURITY]]='INPUT_BONDS (2)'!$AM$2,'INPUT_BONDS (2)'!$AN$2,ALL_PROD_RISK3[[#This Row],[MATURITY]])</f>
        <v>46386</v>
      </c>
      <c r="J23" s="32">
        <v>1.0000000000000002E-6</v>
      </c>
      <c r="K23" s="36"/>
      <c r="L23" s="31">
        <v>1</v>
      </c>
      <c r="M23" s="31" t="s">
        <v>50</v>
      </c>
      <c r="N23" s="31" t="s">
        <v>159</v>
      </c>
      <c r="O23" s="31" t="s">
        <v>160</v>
      </c>
      <c r="P23" s="31" t="s">
        <v>34</v>
      </c>
      <c r="W23" s="31" t="s">
        <v>35</v>
      </c>
      <c r="X23" s="31">
        <v>1</v>
      </c>
      <c r="Y23" s="31" t="s">
        <v>146</v>
      </c>
      <c r="Z23" s="31" t="s">
        <v>38</v>
      </c>
      <c r="AB23" s="37">
        <f ca="1">(ALL_PROD_RISK6[[#This Row],[MATURITY]]-TODAY())/365</f>
        <v>2.8383561643835615</v>
      </c>
      <c r="AC23" s="38" t="e">
        <f>_xlfn.XLOOKUP(ALL_PROD_RISK6[[#This Row],[Rank]],[1]!RANKtbl[Rank],[1]!RANKtbl[STEPS])</f>
        <v>#REF!</v>
      </c>
      <c r="AD23" s="38">
        <f>IF(ALL_PROD_RISK6[[#This Row],[RATING]]="AAA",-7,)</f>
        <v>0</v>
      </c>
      <c r="AE23" s="38"/>
      <c r="AF23" s="38"/>
      <c r="AG23" s="38"/>
      <c r="AH23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23" s="39" t="e">
        <f>IF(ALL_PROD_RISK6[[#This Row],[C_INDEX]]&lt;1,"AAA",_xlfn.XLOOKUP(ALL_PROD_RISK6[[#This Row],[C_INDEX]],[1]!CS_RATING[INDEX],[1]!CS_RATING[RATING]))</f>
        <v>#REF!</v>
      </c>
      <c r="AJ23" s="21">
        <v>0</v>
      </c>
    </row>
    <row r="24" spans="1:36" x14ac:dyDescent="0.2">
      <c r="A24" s="31">
        <v>1</v>
      </c>
      <c r="B24" s="31" t="s">
        <v>255</v>
      </c>
      <c r="C24" s="31" t="s">
        <v>256</v>
      </c>
      <c r="D24" s="31" t="s">
        <v>32</v>
      </c>
      <c r="E24" s="31" t="s">
        <v>49</v>
      </c>
      <c r="F24" s="31" t="s">
        <v>238</v>
      </c>
      <c r="G24" s="31" t="s">
        <v>33</v>
      </c>
      <c r="H24" s="40">
        <v>41121</v>
      </c>
      <c r="I24" s="40">
        <f>IF(ALL_PROD_RISK3[[#This Row],[MATURITY]]='INPUT_BONDS (2)'!$AM$2,'INPUT_BONDS (2)'!$AN$2,ALL_PROD_RISK3[[#This Row],[MATURITY]])</f>
        <v>45272</v>
      </c>
      <c r="J24" s="32">
        <v>0</v>
      </c>
      <c r="K24" s="36"/>
      <c r="L24" s="31">
        <v>1</v>
      </c>
      <c r="M24" s="31" t="s">
        <v>50</v>
      </c>
      <c r="N24" s="31" t="s">
        <v>159</v>
      </c>
      <c r="O24" s="31" t="s">
        <v>160</v>
      </c>
      <c r="P24" s="31" t="s">
        <v>34</v>
      </c>
      <c r="W24" s="31" t="s">
        <v>35</v>
      </c>
      <c r="X24" s="31">
        <v>1</v>
      </c>
      <c r="Y24" s="31" t="s">
        <v>146</v>
      </c>
      <c r="Z24" s="31" t="s">
        <v>38</v>
      </c>
      <c r="AB24" s="37">
        <f ca="1">(ALL_PROD_RISK6[[#This Row],[MATURITY]]-TODAY())/365</f>
        <v>-0.21369863013698631</v>
      </c>
      <c r="AC24" s="38" t="e">
        <f>_xlfn.XLOOKUP(ALL_PROD_RISK6[[#This Row],[Rank]],[1]!RANKtbl[Rank],[1]!RANKtbl[STEPS])</f>
        <v>#REF!</v>
      </c>
      <c r="AD24" s="38">
        <f>IF(ALL_PROD_RISK6[[#This Row],[RATING]]="AAA",-7,)</f>
        <v>0</v>
      </c>
      <c r="AE24" s="38"/>
      <c r="AF24" s="38"/>
      <c r="AG24" s="38"/>
      <c r="AH24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24" s="39" t="e">
        <f>IF(ALL_PROD_RISK6[[#This Row],[C_INDEX]]&lt;1,"AAA",_xlfn.XLOOKUP(ALL_PROD_RISK6[[#This Row],[C_INDEX]],[1]!CS_RATING[INDEX],[1]!CS_RATING[RATING]))</f>
        <v>#REF!</v>
      </c>
      <c r="AJ24" s="21">
        <v>0</v>
      </c>
    </row>
    <row r="25" spans="1:36" x14ac:dyDescent="0.2">
      <c r="A25" s="31">
        <v>1</v>
      </c>
      <c r="B25" s="31" t="s">
        <v>257</v>
      </c>
      <c r="C25" s="31" t="s">
        <v>258</v>
      </c>
      <c r="D25" s="31" t="s">
        <v>32</v>
      </c>
      <c r="E25" s="31" t="s">
        <v>53</v>
      </c>
      <c r="F25" s="31" t="s">
        <v>238</v>
      </c>
      <c r="G25" s="31" t="s">
        <v>33</v>
      </c>
      <c r="H25" s="40">
        <v>43437</v>
      </c>
      <c r="I25" s="40">
        <f>IF(ALL_PROD_RISK3[[#This Row],[MATURITY]]='INPUT_BONDS (2)'!$AM$2,'INPUT_BONDS (2)'!$AN$2,ALL_PROD_RISK3[[#This Row],[MATURITY]])</f>
        <v>45264</v>
      </c>
      <c r="J25" s="32">
        <v>0.01</v>
      </c>
      <c r="K25" s="36"/>
      <c r="L25" s="31">
        <v>1</v>
      </c>
      <c r="M25" s="31" t="s">
        <v>54</v>
      </c>
      <c r="N25" s="31" t="s">
        <v>159</v>
      </c>
      <c r="O25" s="31" t="s">
        <v>160</v>
      </c>
      <c r="P25" s="31" t="s">
        <v>34</v>
      </c>
      <c r="W25" s="31" t="s">
        <v>35</v>
      </c>
      <c r="X25" s="31">
        <v>1</v>
      </c>
      <c r="Y25" s="31" t="s">
        <v>147</v>
      </c>
      <c r="Z25" s="31" t="s">
        <v>38</v>
      </c>
      <c r="AB25" s="37">
        <f ca="1">(ALL_PROD_RISK6[[#This Row],[MATURITY]]-TODAY())/365</f>
        <v>-0.23561643835616439</v>
      </c>
      <c r="AC25" s="38" t="e">
        <f>_xlfn.XLOOKUP(ALL_PROD_RISK6[[#This Row],[Rank]],[1]!RANKtbl[Rank],[1]!RANKtbl[STEPS])</f>
        <v>#REF!</v>
      </c>
      <c r="AD25" s="38">
        <f>IF(ALL_PROD_RISK6[[#This Row],[RATING]]="AAA",-7,)</f>
        <v>0</v>
      </c>
      <c r="AE25" s="38"/>
      <c r="AF25" s="38"/>
      <c r="AG25" s="38"/>
      <c r="AH25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25" s="39" t="e">
        <f>IF(ALL_PROD_RISK6[[#This Row],[C_INDEX]]&lt;1,"AAA",_xlfn.XLOOKUP(ALL_PROD_RISK6[[#This Row],[C_INDEX]],[1]!CS_RATING[INDEX],[1]!CS_RATING[RATING]))</f>
        <v>#REF!</v>
      </c>
      <c r="AJ25" s="21">
        <v>0</v>
      </c>
    </row>
    <row r="26" spans="1:36" x14ac:dyDescent="0.2">
      <c r="A26" s="31">
        <v>1</v>
      </c>
      <c r="B26" s="31" t="s">
        <v>55</v>
      </c>
      <c r="C26" s="31" t="s">
        <v>56</v>
      </c>
      <c r="D26" s="31" t="s">
        <v>32</v>
      </c>
      <c r="E26" s="31" t="s">
        <v>53</v>
      </c>
      <c r="F26" s="31" t="s">
        <v>238</v>
      </c>
      <c r="G26" s="31" t="s">
        <v>33</v>
      </c>
      <c r="H26" s="40">
        <v>43916</v>
      </c>
      <c r="I26" s="40">
        <f>IF(ALL_PROD_RISK3[[#This Row],[MATURITY]]='INPUT_BONDS (2)'!$AM$2,'INPUT_BONDS (2)'!$AN$2,ALL_PROD_RISK3[[#This Row],[MATURITY]])</f>
        <v>45679</v>
      </c>
      <c r="J26" s="32">
        <v>2.5000000000000001E-3</v>
      </c>
      <c r="K26" s="36"/>
      <c r="L26" s="31">
        <v>1</v>
      </c>
      <c r="M26" s="31" t="s">
        <v>54</v>
      </c>
      <c r="N26" s="31" t="s">
        <v>159</v>
      </c>
      <c r="O26" s="31" t="s">
        <v>160</v>
      </c>
      <c r="P26" s="31" t="s">
        <v>34</v>
      </c>
      <c r="W26" s="31" t="s">
        <v>35</v>
      </c>
      <c r="X26" s="31">
        <v>1</v>
      </c>
      <c r="Y26" s="31" t="s">
        <v>147</v>
      </c>
      <c r="Z26" s="31" t="s">
        <v>38</v>
      </c>
      <c r="AB26" s="37">
        <f ca="1">(ALL_PROD_RISK6[[#This Row],[MATURITY]]-TODAY())/365</f>
        <v>0.90136986301369859</v>
      </c>
      <c r="AC26" s="38" t="e">
        <f>_xlfn.XLOOKUP(ALL_PROD_RISK6[[#This Row],[Rank]],[1]!RANKtbl[Rank],[1]!RANKtbl[STEPS])</f>
        <v>#REF!</v>
      </c>
      <c r="AD26" s="38">
        <f>IF(ALL_PROD_RISK6[[#This Row],[RATING]]="AAA",-7,)</f>
        <v>0</v>
      </c>
      <c r="AE26" s="38"/>
      <c r="AF26" s="38"/>
      <c r="AG26" s="38"/>
      <c r="AH26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26" s="39" t="e">
        <f>IF(ALL_PROD_RISK6[[#This Row],[C_INDEX]]&lt;1,"AAA",_xlfn.XLOOKUP(ALL_PROD_RISK6[[#This Row],[C_INDEX]],[1]!CS_RATING[INDEX],[1]!CS_RATING[RATING]))</f>
        <v>#REF!</v>
      </c>
      <c r="AJ26" s="21">
        <v>0</v>
      </c>
    </row>
    <row r="27" spans="1:36" x14ac:dyDescent="0.2">
      <c r="A27" s="31">
        <v>1</v>
      </c>
      <c r="B27" s="31" t="s">
        <v>57</v>
      </c>
      <c r="C27" s="31" t="s">
        <v>58</v>
      </c>
      <c r="D27" s="31" t="s">
        <v>32</v>
      </c>
      <c r="E27" s="31" t="s">
        <v>53</v>
      </c>
      <c r="F27" s="31" t="s">
        <v>238</v>
      </c>
      <c r="G27" s="31" t="s">
        <v>33</v>
      </c>
      <c r="H27" s="40">
        <v>43798</v>
      </c>
      <c r="I27" s="40">
        <f>IF(ALL_PROD_RISK3[[#This Row],[MATURITY]]='INPUT_BONDS (2)'!$AM$2,'INPUT_BONDS (2)'!$AN$2,ALL_PROD_RISK3[[#This Row],[MATURITY]])</f>
        <v>46290</v>
      </c>
      <c r="J27" s="32">
        <v>3.7499999999999999E-3</v>
      </c>
      <c r="K27" s="36"/>
      <c r="L27" s="31">
        <v>1</v>
      </c>
      <c r="M27" s="31" t="s">
        <v>54</v>
      </c>
      <c r="N27" s="31" t="s">
        <v>159</v>
      </c>
      <c r="O27" s="31" t="s">
        <v>160</v>
      </c>
      <c r="P27" s="31" t="s">
        <v>34</v>
      </c>
      <c r="W27" s="31" t="s">
        <v>35</v>
      </c>
      <c r="X27" s="31">
        <v>1</v>
      </c>
      <c r="Y27" s="31" t="s">
        <v>147</v>
      </c>
      <c r="Z27" s="31" t="s">
        <v>38</v>
      </c>
      <c r="AB27" s="37">
        <f ca="1">(ALL_PROD_RISK6[[#This Row],[MATURITY]]-TODAY())/365</f>
        <v>2.5753424657534247</v>
      </c>
      <c r="AC27" s="38" t="e">
        <f>_xlfn.XLOOKUP(ALL_PROD_RISK6[[#This Row],[Rank]],[1]!RANKtbl[Rank],[1]!RANKtbl[STEPS])</f>
        <v>#REF!</v>
      </c>
      <c r="AD27" s="38">
        <f>IF(ALL_PROD_RISK6[[#This Row],[RATING]]="AAA",-7,)</f>
        <v>0</v>
      </c>
      <c r="AE27" s="38"/>
      <c r="AF27" s="38"/>
      <c r="AG27" s="38"/>
      <c r="AH27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27" s="39" t="e">
        <f>IF(ALL_PROD_RISK6[[#This Row],[C_INDEX]]&lt;1,"AAA",_xlfn.XLOOKUP(ALL_PROD_RISK6[[#This Row],[C_INDEX]],[1]!CS_RATING[INDEX],[1]!CS_RATING[RATING]))</f>
        <v>#REF!</v>
      </c>
      <c r="AJ27" s="21">
        <v>0</v>
      </c>
    </row>
    <row r="28" spans="1:36" x14ac:dyDescent="0.2">
      <c r="A28" s="31">
        <v>1</v>
      </c>
      <c r="B28" s="31" t="s">
        <v>59</v>
      </c>
      <c r="C28" s="31" t="s">
        <v>60</v>
      </c>
      <c r="D28" s="31" t="s">
        <v>32</v>
      </c>
      <c r="E28" s="31" t="s">
        <v>62</v>
      </c>
      <c r="F28" s="31" t="s">
        <v>238</v>
      </c>
      <c r="G28" s="31" t="s">
        <v>33</v>
      </c>
      <c r="H28" s="40">
        <v>43229</v>
      </c>
      <c r="I28" s="40">
        <f>IF(ALL_PROD_RISK3[[#This Row],[MATURITY]]='INPUT_BONDS (2)'!$AM$2,'INPUT_BONDS (2)'!$AN$2,ALL_PROD_RISK3[[#This Row],[MATURITY]])</f>
        <v>45793</v>
      </c>
      <c r="J28" s="32">
        <v>6.2500000000000003E-3</v>
      </c>
      <c r="K28" s="36"/>
      <c r="L28" s="31">
        <v>1</v>
      </c>
      <c r="M28" s="31" t="s">
        <v>63</v>
      </c>
      <c r="N28" s="31" t="s">
        <v>159</v>
      </c>
      <c r="O28" s="31" t="s">
        <v>160</v>
      </c>
      <c r="P28" s="31" t="s">
        <v>191</v>
      </c>
      <c r="Q28" s="31">
        <v>1</v>
      </c>
      <c r="R28" s="31" t="s">
        <v>192</v>
      </c>
      <c r="S28" s="31">
        <v>8.5000000000000006E-3</v>
      </c>
      <c r="T28" s="31">
        <v>2.3E-2</v>
      </c>
      <c r="W28" s="31" t="s">
        <v>35</v>
      </c>
      <c r="X28" s="31">
        <v>1</v>
      </c>
      <c r="Y28" s="31" t="s">
        <v>146</v>
      </c>
      <c r="Z28" s="31" t="s">
        <v>38</v>
      </c>
      <c r="AB28" s="37">
        <f ca="1">(ALL_PROD_RISK6[[#This Row],[MATURITY]]-TODAY())/365</f>
        <v>1.2136986301369863</v>
      </c>
      <c r="AC28" s="38" t="e">
        <f>_xlfn.XLOOKUP(ALL_PROD_RISK6[[#This Row],[Rank]],[1]!RANKtbl[Rank],[1]!RANKtbl[STEPS])</f>
        <v>#REF!</v>
      </c>
      <c r="AD28" s="38">
        <f>IF(ALL_PROD_RISK6[[#This Row],[RATING]]="AAA",-7,)</f>
        <v>0</v>
      </c>
      <c r="AE28" s="38"/>
      <c r="AF28" s="38"/>
      <c r="AG28" s="38"/>
      <c r="AH28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28" s="39" t="e">
        <f>IF(ALL_PROD_RISK6[[#This Row],[C_INDEX]]&lt;1,"AAA",_xlfn.XLOOKUP(ALL_PROD_RISK6[[#This Row],[C_INDEX]],[1]!CS_RATING[INDEX],[1]!CS_RATING[RATING]))</f>
        <v>#REF!</v>
      </c>
      <c r="AJ28" s="21">
        <v>0</v>
      </c>
    </row>
    <row r="29" spans="1:36" x14ac:dyDescent="0.2">
      <c r="A29" s="31">
        <v>1</v>
      </c>
      <c r="B29" s="31" t="s">
        <v>199</v>
      </c>
      <c r="C29" s="31" t="s">
        <v>200</v>
      </c>
      <c r="D29" s="31" t="s">
        <v>201</v>
      </c>
      <c r="E29" s="31" t="s">
        <v>64</v>
      </c>
      <c r="F29" s="31" t="s">
        <v>238</v>
      </c>
      <c r="G29" s="31" t="s">
        <v>33</v>
      </c>
      <c r="H29" s="40">
        <v>43445</v>
      </c>
      <c r="I29" s="40">
        <f>IF(ALL_PROD_RISK3[[#This Row],[MATURITY]]='INPUT_BONDS (2)'!$AM$2,'INPUT_BONDS (2)'!$AN$2,ALL_PROD_RISK3[[#This Row],[MATURITY]])</f>
        <v>46010</v>
      </c>
      <c r="J29" s="32">
        <v>3.193E-2</v>
      </c>
      <c r="K29" s="36"/>
      <c r="L29" s="31">
        <v>2</v>
      </c>
      <c r="M29" s="31" t="s">
        <v>65</v>
      </c>
      <c r="N29" s="31" t="s">
        <v>159</v>
      </c>
      <c r="O29" s="31" t="s">
        <v>160</v>
      </c>
      <c r="P29" s="31" t="s">
        <v>191</v>
      </c>
      <c r="Q29" s="31">
        <v>1</v>
      </c>
      <c r="R29" s="31" t="s">
        <v>202</v>
      </c>
      <c r="S29" s="31">
        <v>7.4999999999999997E-3</v>
      </c>
      <c r="T29" s="31">
        <v>3.2500000000000001E-2</v>
      </c>
      <c r="U29" s="31">
        <v>5.0000000000000001E-3</v>
      </c>
      <c r="W29" s="31" t="s">
        <v>35</v>
      </c>
      <c r="X29" s="31">
        <v>1</v>
      </c>
      <c r="Y29" s="31" t="s">
        <v>147</v>
      </c>
      <c r="Z29" s="31" t="s">
        <v>38</v>
      </c>
      <c r="AB29" s="37">
        <f ca="1">(ALL_PROD_RISK6[[#This Row],[MATURITY]]-TODAY())/365</f>
        <v>1.8082191780821917</v>
      </c>
      <c r="AC29" s="38" t="e">
        <f>_xlfn.XLOOKUP(ALL_PROD_RISK6[[#This Row],[Rank]],[1]!RANKtbl[Rank],[1]!RANKtbl[STEPS])</f>
        <v>#REF!</v>
      </c>
      <c r="AD29" s="38">
        <f>IF(ALL_PROD_RISK6[[#This Row],[RATING]]="AAA",-7,)</f>
        <v>0</v>
      </c>
      <c r="AE29" s="38"/>
      <c r="AF29" s="38"/>
      <c r="AG29" s="38"/>
      <c r="AH29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29" s="39" t="e">
        <f>IF(ALL_PROD_RISK6[[#This Row],[C_INDEX]]&lt;1,"AAA",_xlfn.XLOOKUP(ALL_PROD_RISK6[[#This Row],[C_INDEX]],[1]!CS_RATING[INDEX],[1]!CS_RATING[RATING]))</f>
        <v>#REF!</v>
      </c>
      <c r="AJ29" s="21">
        <v>0</v>
      </c>
    </row>
    <row r="30" spans="1:36" x14ac:dyDescent="0.2">
      <c r="A30" s="31">
        <v>1</v>
      </c>
      <c r="B30" s="31" t="s">
        <v>66</v>
      </c>
      <c r="C30" s="31" t="s">
        <v>67</v>
      </c>
      <c r="D30" s="31" t="s">
        <v>32</v>
      </c>
      <c r="E30" s="31" t="s">
        <v>64</v>
      </c>
      <c r="F30" s="31" t="s">
        <v>238</v>
      </c>
      <c r="G30" s="31" t="s">
        <v>33</v>
      </c>
      <c r="H30" s="40">
        <v>43812</v>
      </c>
      <c r="I30" s="40">
        <f>IF(ALL_PROD_RISK3[[#This Row],[MATURITY]]='INPUT_BONDS (2)'!$AM$2,'INPUT_BONDS (2)'!$AN$2,ALL_PROD_RISK3[[#This Row],[MATURITY]])</f>
        <v>45646</v>
      </c>
      <c r="J30" s="32">
        <v>4.4999999999999997E-3</v>
      </c>
      <c r="K30" s="36"/>
      <c r="L30" s="31">
        <v>1</v>
      </c>
      <c r="M30" s="31" t="s">
        <v>65</v>
      </c>
      <c r="N30" s="31" t="s">
        <v>159</v>
      </c>
      <c r="O30" s="31" t="s">
        <v>160</v>
      </c>
      <c r="P30" s="31" t="s">
        <v>34</v>
      </c>
      <c r="W30" s="31" t="s">
        <v>35</v>
      </c>
      <c r="X30" s="31">
        <v>1</v>
      </c>
      <c r="Y30" s="31" t="s">
        <v>147</v>
      </c>
      <c r="Z30" s="31" t="s">
        <v>38</v>
      </c>
      <c r="AB30" s="37">
        <f ca="1">(ALL_PROD_RISK6[[#This Row],[MATURITY]]-TODAY())/365</f>
        <v>0.81095890410958904</v>
      </c>
      <c r="AC30" s="38" t="e">
        <f>_xlfn.XLOOKUP(ALL_PROD_RISK6[[#This Row],[Rank]],[1]!RANKtbl[Rank],[1]!RANKtbl[STEPS])</f>
        <v>#REF!</v>
      </c>
      <c r="AD30" s="38">
        <f>IF(ALL_PROD_RISK6[[#This Row],[RATING]]="AAA",-7,)</f>
        <v>0</v>
      </c>
      <c r="AE30" s="38"/>
      <c r="AF30" s="38"/>
      <c r="AG30" s="38"/>
      <c r="AH30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30" s="39" t="e">
        <f>IF(ALL_PROD_RISK6[[#This Row],[C_INDEX]]&lt;1,"AAA",_xlfn.XLOOKUP(ALL_PROD_RISK6[[#This Row],[C_INDEX]],[1]!CS_RATING[INDEX],[1]!CS_RATING[RATING]))</f>
        <v>#REF!</v>
      </c>
      <c r="AJ30" s="21">
        <v>0</v>
      </c>
    </row>
    <row r="31" spans="1:36" x14ac:dyDescent="0.2">
      <c r="A31" s="31">
        <v>1</v>
      </c>
      <c r="B31" s="31">
        <v>283340</v>
      </c>
      <c r="C31" s="31" t="s">
        <v>259</v>
      </c>
      <c r="D31" s="31" t="s">
        <v>32</v>
      </c>
      <c r="E31" s="31" t="s">
        <v>68</v>
      </c>
      <c r="F31" s="31" t="s">
        <v>232</v>
      </c>
      <c r="G31" s="31" t="s">
        <v>33</v>
      </c>
      <c r="H31" s="40">
        <v>45191</v>
      </c>
      <c r="I31" s="40">
        <f>IF(ALL_PROD_RISK3[[#This Row],[MATURITY]]='INPUT_BONDS (2)'!$AM$2,'INPUT_BONDS (2)'!$AN$2,ALL_PROD_RISK3[[#This Row],[MATURITY]])</f>
        <v>45283</v>
      </c>
      <c r="J31" s="32">
        <v>0</v>
      </c>
      <c r="K31" s="36"/>
      <c r="L31" s="31">
        <v>4</v>
      </c>
      <c r="M31" s="31" t="s">
        <v>69</v>
      </c>
      <c r="N31" s="31" t="s">
        <v>159</v>
      </c>
      <c r="O31" s="31" t="s">
        <v>160</v>
      </c>
      <c r="P31" s="31" t="s">
        <v>34</v>
      </c>
      <c r="W31" s="31" t="s">
        <v>35</v>
      </c>
      <c r="X31" s="31">
        <v>1</v>
      </c>
      <c r="Y31" s="31" t="s">
        <v>149</v>
      </c>
      <c r="Z31" s="31" t="s">
        <v>38</v>
      </c>
      <c r="AB31" s="37">
        <f ca="1">(ALL_PROD_RISK6[[#This Row],[MATURITY]]-TODAY())/365</f>
        <v>-0.18356164383561643</v>
      </c>
      <c r="AC31" s="38" t="e">
        <f>_xlfn.XLOOKUP(ALL_PROD_RISK6[[#This Row],[Rank]],[1]!RANKtbl[Rank],[1]!RANKtbl[STEPS])</f>
        <v>#REF!</v>
      </c>
      <c r="AD31" s="38">
        <f>IF(ALL_PROD_RISK6[[#This Row],[RATING]]="AAA",-7,)</f>
        <v>0</v>
      </c>
      <c r="AE31" s="38"/>
      <c r="AF31" s="38"/>
      <c r="AG31" s="38"/>
      <c r="AH31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31" s="39" t="e">
        <f>IF(ALL_PROD_RISK6[[#This Row],[C_INDEX]]&lt;1,"AAA",_xlfn.XLOOKUP(ALL_PROD_RISK6[[#This Row],[C_INDEX]],[1]!CS_RATING[INDEX],[1]!CS_RATING[RATING]))</f>
        <v>#REF!</v>
      </c>
      <c r="AJ31" s="21">
        <v>0</v>
      </c>
    </row>
    <row r="32" spans="1:36" x14ac:dyDescent="0.2">
      <c r="A32" s="31">
        <v>1</v>
      </c>
      <c r="B32" s="31">
        <v>283350</v>
      </c>
      <c r="C32" s="31" t="s">
        <v>260</v>
      </c>
      <c r="D32" s="31" t="s">
        <v>32</v>
      </c>
      <c r="E32" s="31" t="s">
        <v>70</v>
      </c>
      <c r="F32" s="31" t="s">
        <v>232</v>
      </c>
      <c r="G32" s="31" t="s">
        <v>33</v>
      </c>
      <c r="H32" s="40">
        <v>45191</v>
      </c>
      <c r="I32" s="40">
        <f>IF(ALL_PROD_RISK3[[#This Row],[MATURITY]]='INPUT_BONDS (2)'!$AM$2,'INPUT_BONDS (2)'!$AN$2,ALL_PROD_RISK3[[#This Row],[MATURITY]])</f>
        <v>45283</v>
      </c>
      <c r="J32" s="32">
        <v>0</v>
      </c>
      <c r="K32" s="36"/>
      <c r="L32" s="31">
        <v>4</v>
      </c>
      <c r="M32" s="31" t="s">
        <v>71</v>
      </c>
      <c r="N32" s="31" t="s">
        <v>159</v>
      </c>
      <c r="O32" s="31" t="s">
        <v>163</v>
      </c>
      <c r="P32" s="31" t="s">
        <v>34</v>
      </c>
      <c r="W32" s="31" t="s">
        <v>35</v>
      </c>
      <c r="X32" s="31">
        <v>1</v>
      </c>
      <c r="Y32" s="31" t="s">
        <v>150</v>
      </c>
      <c r="Z32" s="31" t="s">
        <v>38</v>
      </c>
      <c r="AB32" s="37">
        <f ca="1">(ALL_PROD_RISK6[[#This Row],[MATURITY]]-TODAY())/365</f>
        <v>-0.18356164383561643</v>
      </c>
      <c r="AC32" s="38" t="e">
        <f>_xlfn.XLOOKUP(ALL_PROD_RISK6[[#This Row],[Rank]],[1]!RANKtbl[Rank],[1]!RANKtbl[STEPS])</f>
        <v>#REF!</v>
      </c>
      <c r="AD32" s="38">
        <f>IF(ALL_PROD_RISK6[[#This Row],[RATING]]="AAA",-7,)</f>
        <v>0</v>
      </c>
      <c r="AE32" s="38"/>
      <c r="AF32" s="38"/>
      <c r="AG32" s="38"/>
      <c r="AH32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32" s="39" t="e">
        <f>IF(ALL_PROD_RISK6[[#This Row],[C_INDEX]]&lt;1,"AAA",_xlfn.XLOOKUP(ALL_PROD_RISK6[[#This Row],[C_INDEX]],[1]!CS_RATING[INDEX],[1]!CS_RATING[RATING]))</f>
        <v>#REF!</v>
      </c>
      <c r="AJ32" s="21">
        <v>0</v>
      </c>
    </row>
    <row r="33" spans="1:36" x14ac:dyDescent="0.2">
      <c r="A33" s="31">
        <v>1</v>
      </c>
      <c r="B33" s="31" t="s">
        <v>203</v>
      </c>
      <c r="C33" s="31" t="s">
        <v>204</v>
      </c>
      <c r="D33" s="31" t="s">
        <v>205</v>
      </c>
      <c r="E33" s="31" t="s">
        <v>42</v>
      </c>
      <c r="F33" s="31" t="s">
        <v>238</v>
      </c>
      <c r="G33" s="31" t="s">
        <v>33</v>
      </c>
      <c r="H33" s="40">
        <v>43088</v>
      </c>
      <c r="I33" s="40">
        <f>IF(ALL_PROD_RISK3[[#This Row],[MATURITY]]='INPUT_BONDS (2)'!$AM$2,'INPUT_BONDS (2)'!$AN$2,ALL_PROD_RISK3[[#This Row],[MATURITY]])</f>
        <v>45645</v>
      </c>
      <c r="J33" s="32">
        <v>3.1E-2</v>
      </c>
      <c r="K33" s="36"/>
      <c r="L33" s="31">
        <v>4</v>
      </c>
      <c r="M33" s="31" t="s">
        <v>43</v>
      </c>
      <c r="N33" s="31" t="s">
        <v>159</v>
      </c>
      <c r="O33" s="31" t="s">
        <v>160</v>
      </c>
      <c r="P33" s="31" t="s">
        <v>191</v>
      </c>
      <c r="Q33" s="31">
        <v>1</v>
      </c>
      <c r="R33" s="31" t="s">
        <v>192</v>
      </c>
      <c r="S33" s="31">
        <v>6.0000000000000001E-3</v>
      </c>
      <c r="T33" s="31">
        <v>3.1E-2</v>
      </c>
      <c r="W33" s="31" t="s">
        <v>35</v>
      </c>
      <c r="X33" s="31">
        <v>1</v>
      </c>
      <c r="Y33" s="31" t="s">
        <v>150</v>
      </c>
      <c r="Z33" s="31" t="s">
        <v>38</v>
      </c>
      <c r="AB33" s="37">
        <f ca="1">(ALL_PROD_RISK6[[#This Row],[MATURITY]]-TODAY())/365</f>
        <v>0.80821917808219179</v>
      </c>
      <c r="AC33" s="38" t="e">
        <f>_xlfn.XLOOKUP(ALL_PROD_RISK6[[#This Row],[Rank]],[1]!RANKtbl[Rank],[1]!RANKtbl[STEPS])</f>
        <v>#REF!</v>
      </c>
      <c r="AD33" s="38">
        <f>IF(ALL_PROD_RISK6[[#This Row],[RATING]]="AAA",-7,)</f>
        <v>0</v>
      </c>
      <c r="AE33" s="38"/>
      <c r="AF33" s="38"/>
      <c r="AG33" s="38"/>
      <c r="AH33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33" s="39" t="e">
        <f>IF(ALL_PROD_RISK6[[#This Row],[C_INDEX]]&lt;1,"AAA",_xlfn.XLOOKUP(ALL_PROD_RISK6[[#This Row],[C_INDEX]],[1]!CS_RATING[INDEX],[1]!CS_RATING[RATING]))</f>
        <v>#REF!</v>
      </c>
      <c r="AJ33" s="21">
        <v>0</v>
      </c>
    </row>
    <row r="34" spans="1:36" x14ac:dyDescent="0.2">
      <c r="A34" s="31">
        <v>1</v>
      </c>
      <c r="B34" s="31" t="s">
        <v>206</v>
      </c>
      <c r="C34" s="31" t="s">
        <v>207</v>
      </c>
      <c r="D34" s="31" t="s">
        <v>261</v>
      </c>
      <c r="E34" s="31" t="s">
        <v>72</v>
      </c>
      <c r="F34" s="31" t="s">
        <v>238</v>
      </c>
      <c r="G34" s="31" t="s">
        <v>33</v>
      </c>
      <c r="H34" s="40">
        <v>43817</v>
      </c>
      <c r="I34" s="40">
        <f>IF(ALL_PROD_RISK3[[#This Row],[MATURITY]]='INPUT_BONDS (2)'!$AM$2,'INPUT_BONDS (2)'!$AN$2,ALL_PROD_RISK3[[#This Row],[MATURITY]])</f>
        <v>46018</v>
      </c>
      <c r="J34" s="32">
        <v>2.8320000000000001E-2</v>
      </c>
      <c r="K34" s="36"/>
      <c r="L34" s="31">
        <v>1</v>
      </c>
      <c r="M34" s="31" t="s">
        <v>73</v>
      </c>
      <c r="N34" s="31" t="s">
        <v>159</v>
      </c>
      <c r="O34" s="31" t="s">
        <v>160</v>
      </c>
      <c r="P34" s="31" t="s">
        <v>191</v>
      </c>
      <c r="Q34" s="31">
        <v>1</v>
      </c>
      <c r="R34" s="31" t="s">
        <v>192</v>
      </c>
      <c r="S34" s="31">
        <v>0</v>
      </c>
      <c r="T34" s="31">
        <v>1</v>
      </c>
      <c r="U34" s="31">
        <v>7.0000000000000001E-3</v>
      </c>
      <c r="W34" s="31" t="s">
        <v>35</v>
      </c>
      <c r="X34" s="31">
        <v>1</v>
      </c>
      <c r="Y34" s="31" t="s">
        <v>146</v>
      </c>
      <c r="Z34" s="31" t="s">
        <v>38</v>
      </c>
      <c r="AB34" s="37">
        <f ca="1">(ALL_PROD_RISK6[[#This Row],[MATURITY]]-TODAY())/365</f>
        <v>1.8301369863013699</v>
      </c>
      <c r="AC34" s="38" t="e">
        <f>_xlfn.XLOOKUP(ALL_PROD_RISK6[[#This Row],[Rank]],[1]!RANKtbl[Rank],[1]!RANKtbl[STEPS])</f>
        <v>#REF!</v>
      </c>
      <c r="AD34" s="38">
        <f>IF(ALL_PROD_RISK6[[#This Row],[RATING]]="AAA",-7,)</f>
        <v>0</v>
      </c>
      <c r="AE34" s="38"/>
      <c r="AF34" s="38"/>
      <c r="AG34" s="38"/>
      <c r="AH34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34" s="39" t="e">
        <f>IF(ALL_PROD_RISK6[[#This Row],[C_INDEX]]&lt;1,"AAA",_xlfn.XLOOKUP(ALL_PROD_RISK6[[#This Row],[C_INDEX]],[1]!CS_RATING[INDEX],[1]!CS_RATING[RATING]))</f>
        <v>#REF!</v>
      </c>
      <c r="AJ34" s="21">
        <v>0</v>
      </c>
    </row>
    <row r="35" spans="1:36" x14ac:dyDescent="0.2">
      <c r="A35" s="31">
        <v>1</v>
      </c>
      <c r="B35" s="31" t="s">
        <v>74</v>
      </c>
      <c r="C35" s="31" t="s">
        <v>75</v>
      </c>
      <c r="D35" s="31" t="s">
        <v>32</v>
      </c>
      <c r="E35" s="31" t="s">
        <v>49</v>
      </c>
      <c r="F35" s="31" t="s">
        <v>238</v>
      </c>
      <c r="G35" s="31" t="s">
        <v>33</v>
      </c>
      <c r="H35" s="40">
        <v>44551</v>
      </c>
      <c r="I35" s="40">
        <f>IF(ALL_PROD_RISK3[[#This Row],[MATURITY]]='INPUT_BONDS (2)'!$AM$2,'INPUT_BONDS (2)'!$AN$2,ALL_PROD_RISK3[[#This Row],[MATURITY]])</f>
        <v>46363</v>
      </c>
      <c r="J35" s="32">
        <v>1.2999999999999999E-3</v>
      </c>
      <c r="K35" s="36"/>
      <c r="L35" s="31">
        <v>1</v>
      </c>
      <c r="M35" s="31" t="s">
        <v>50</v>
      </c>
      <c r="N35" s="31" t="s">
        <v>159</v>
      </c>
      <c r="O35" s="31" t="s">
        <v>160</v>
      </c>
      <c r="P35" s="31" t="s">
        <v>34</v>
      </c>
      <c r="W35" s="31" t="s">
        <v>35</v>
      </c>
      <c r="X35" s="31">
        <v>1</v>
      </c>
      <c r="Y35" s="31" t="s">
        <v>146</v>
      </c>
      <c r="Z35" s="31" t="s">
        <v>38</v>
      </c>
      <c r="AB35" s="37">
        <f ca="1">(ALL_PROD_RISK6[[#This Row],[MATURITY]]-TODAY())/365</f>
        <v>2.7753424657534245</v>
      </c>
      <c r="AC35" s="38" t="e">
        <f>_xlfn.XLOOKUP(ALL_PROD_RISK6[[#This Row],[Rank]],[1]!RANKtbl[Rank],[1]!RANKtbl[STEPS])</f>
        <v>#REF!</v>
      </c>
      <c r="AD35" s="38">
        <f>IF(ALL_PROD_RISK6[[#This Row],[RATING]]="AAA",-7,)</f>
        <v>0</v>
      </c>
      <c r="AE35" s="38"/>
      <c r="AF35" s="38"/>
      <c r="AG35" s="38"/>
      <c r="AH35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35" s="39" t="e">
        <f>IF(ALL_PROD_RISK6[[#This Row],[C_INDEX]]&lt;1,"AAA",_xlfn.XLOOKUP(ALL_PROD_RISK6[[#This Row],[C_INDEX]],[1]!CS_RATING[INDEX],[1]!CS_RATING[RATING]))</f>
        <v>#REF!</v>
      </c>
      <c r="AJ35" s="21">
        <v>0</v>
      </c>
    </row>
    <row r="36" spans="1:36" x14ac:dyDescent="0.2">
      <c r="A36" s="31">
        <v>1</v>
      </c>
      <c r="B36" s="31" t="s">
        <v>76</v>
      </c>
      <c r="C36" s="31" t="s">
        <v>77</v>
      </c>
      <c r="D36" s="31" t="s">
        <v>32</v>
      </c>
      <c r="E36" s="31" t="s">
        <v>78</v>
      </c>
      <c r="F36" s="31" t="s">
        <v>238</v>
      </c>
      <c r="G36" s="31" t="s">
        <v>33</v>
      </c>
      <c r="H36" s="40">
        <v>44610</v>
      </c>
      <c r="I36" s="40">
        <f>IF(ALL_PROD_RISK3[[#This Row],[MATURITY]]='INPUT_BONDS (2)'!$AM$2,'INPUT_BONDS (2)'!$AN$2,ALL_PROD_RISK3[[#This Row],[MATURITY]])</f>
        <v>46104</v>
      </c>
      <c r="J36" s="32">
        <v>8.7500000000000008E-3</v>
      </c>
      <c r="K36" s="36"/>
      <c r="L36" s="31">
        <v>1</v>
      </c>
      <c r="M36" s="31" t="s">
        <v>79</v>
      </c>
      <c r="N36" s="31" t="s">
        <v>159</v>
      </c>
      <c r="O36" s="31" t="s">
        <v>160</v>
      </c>
      <c r="P36" s="31" t="s">
        <v>34</v>
      </c>
      <c r="W36" s="31" t="s">
        <v>35</v>
      </c>
      <c r="X36" s="31">
        <v>1</v>
      </c>
      <c r="Y36" s="31" t="s">
        <v>150</v>
      </c>
      <c r="Z36" s="31" t="s">
        <v>38</v>
      </c>
      <c r="AB36" s="37">
        <f ca="1">(ALL_PROD_RISK6[[#This Row],[MATURITY]]-TODAY())/365</f>
        <v>2.0657534246575344</v>
      </c>
      <c r="AC36" s="38" t="e">
        <f>_xlfn.XLOOKUP(ALL_PROD_RISK6[[#This Row],[Rank]],[1]!RANKtbl[Rank],[1]!RANKtbl[STEPS])</f>
        <v>#REF!</v>
      </c>
      <c r="AD36" s="38">
        <f>IF(ALL_PROD_RISK6[[#This Row],[RATING]]="AAA",-7,)</f>
        <v>0</v>
      </c>
      <c r="AE36" s="38"/>
      <c r="AF36" s="38"/>
      <c r="AG36" s="38"/>
      <c r="AH36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36" s="39" t="e">
        <f>IF(ALL_PROD_RISK6[[#This Row],[C_INDEX]]&lt;1,"AAA",_xlfn.XLOOKUP(ALL_PROD_RISK6[[#This Row],[C_INDEX]],[1]!CS_RATING[INDEX],[1]!CS_RATING[RATING]))</f>
        <v>#REF!</v>
      </c>
      <c r="AJ36" s="21">
        <v>0</v>
      </c>
    </row>
    <row r="37" spans="1:36" x14ac:dyDescent="0.2">
      <c r="A37" s="31">
        <v>1</v>
      </c>
      <c r="B37" s="31" t="s">
        <v>80</v>
      </c>
      <c r="C37" s="31" t="s">
        <v>81</v>
      </c>
      <c r="D37" s="31" t="s">
        <v>32</v>
      </c>
      <c r="E37" s="31" t="s">
        <v>82</v>
      </c>
      <c r="F37" s="31" t="s">
        <v>238</v>
      </c>
      <c r="G37" s="31" t="s">
        <v>33</v>
      </c>
      <c r="H37" s="40">
        <v>44613</v>
      </c>
      <c r="I37" s="40">
        <f>IF(ALL_PROD_RISK3[[#This Row],[MATURITY]]='INPUT_BONDS (2)'!$AM$2,'INPUT_BONDS (2)'!$AN$2,ALL_PROD_RISK3[[#This Row],[MATURITY]])</f>
        <v>46436</v>
      </c>
      <c r="J37" s="32">
        <v>3.7499999999999999E-3</v>
      </c>
      <c r="K37" s="36"/>
      <c r="L37" s="31">
        <v>1</v>
      </c>
      <c r="M37" s="31" t="s">
        <v>83</v>
      </c>
      <c r="N37" s="31" t="s">
        <v>159</v>
      </c>
      <c r="O37" s="31" t="s">
        <v>161</v>
      </c>
      <c r="P37" s="31" t="s">
        <v>34</v>
      </c>
      <c r="W37" s="31" t="s">
        <v>35</v>
      </c>
      <c r="X37" s="31">
        <v>1</v>
      </c>
      <c r="Y37" s="31" t="s">
        <v>151</v>
      </c>
      <c r="Z37" s="31" t="s">
        <v>38</v>
      </c>
      <c r="AB37" s="37">
        <f ca="1">(ALL_PROD_RISK6[[#This Row],[MATURITY]]-TODAY())/365</f>
        <v>2.9753424657534246</v>
      </c>
      <c r="AC37" s="38" t="e">
        <f>_xlfn.XLOOKUP(ALL_PROD_RISK6[[#This Row],[Rank]],[1]!RANKtbl[Rank],[1]!RANKtbl[STEPS])</f>
        <v>#REF!</v>
      </c>
      <c r="AD37" s="38">
        <f>IF(ALL_PROD_RISK6[[#This Row],[RATING]]="AAA",-7,)</f>
        <v>0</v>
      </c>
      <c r="AE37" s="38"/>
      <c r="AF37" s="38"/>
      <c r="AG37" s="38"/>
      <c r="AH37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37" s="39" t="e">
        <f>IF(ALL_PROD_RISK6[[#This Row],[C_INDEX]]&lt;1,"AAA",_xlfn.XLOOKUP(ALL_PROD_RISK6[[#This Row],[C_INDEX]],[1]!CS_RATING[INDEX],[1]!CS_RATING[RATING]))</f>
        <v>#REF!</v>
      </c>
      <c r="AJ37" s="21">
        <v>0</v>
      </c>
    </row>
    <row r="38" spans="1:36" x14ac:dyDescent="0.2">
      <c r="A38" s="31">
        <v>1</v>
      </c>
      <c r="B38" s="31" t="s">
        <v>84</v>
      </c>
      <c r="C38" s="31" t="s">
        <v>85</v>
      </c>
      <c r="D38" s="31" t="s">
        <v>32</v>
      </c>
      <c r="E38" s="31" t="s">
        <v>82</v>
      </c>
      <c r="F38" s="31" t="s">
        <v>238</v>
      </c>
      <c r="G38" s="31" t="s">
        <v>33</v>
      </c>
      <c r="H38" s="40">
        <v>44613</v>
      </c>
      <c r="I38" s="40">
        <f>IF(ALL_PROD_RISK3[[#This Row],[MATURITY]]='INPUT_BONDS (2)'!$AM$2,'INPUT_BONDS (2)'!$AN$2,ALL_PROD_RISK3[[#This Row],[MATURITY]])</f>
        <v>46955</v>
      </c>
      <c r="J38" s="32">
        <v>2.5000000000000001E-3</v>
      </c>
      <c r="K38" s="36"/>
      <c r="L38" s="31">
        <v>2</v>
      </c>
      <c r="M38" s="31" t="s">
        <v>83</v>
      </c>
      <c r="N38" s="31" t="s">
        <v>159</v>
      </c>
      <c r="O38" s="31" t="s">
        <v>161</v>
      </c>
      <c r="P38" s="31" t="s">
        <v>34</v>
      </c>
      <c r="W38" s="31" t="s">
        <v>35</v>
      </c>
      <c r="X38" s="31">
        <v>1</v>
      </c>
      <c r="Y38" s="31" t="s">
        <v>151</v>
      </c>
      <c r="Z38" s="31" t="s">
        <v>38</v>
      </c>
      <c r="AB38" s="37">
        <f ca="1">(ALL_PROD_RISK6[[#This Row],[MATURITY]]-TODAY())/365</f>
        <v>4.397260273972603</v>
      </c>
      <c r="AC38" s="38" t="e">
        <f>_xlfn.XLOOKUP(ALL_PROD_RISK6[[#This Row],[Rank]],[1]!RANKtbl[Rank],[1]!RANKtbl[STEPS])</f>
        <v>#REF!</v>
      </c>
      <c r="AD38" s="38">
        <f>IF(ALL_PROD_RISK6[[#This Row],[RATING]]="AAA",-7,)</f>
        <v>0</v>
      </c>
      <c r="AE38" s="38"/>
      <c r="AF38" s="38"/>
      <c r="AG38" s="38"/>
      <c r="AH38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38" s="39" t="e">
        <f>IF(ALL_PROD_RISK6[[#This Row],[C_INDEX]]&lt;1,"AAA",_xlfn.XLOOKUP(ALL_PROD_RISK6[[#This Row],[C_INDEX]],[1]!CS_RATING[INDEX],[1]!CS_RATING[RATING]))</f>
        <v>#REF!</v>
      </c>
      <c r="AJ38" s="21">
        <v>0</v>
      </c>
    </row>
    <row r="39" spans="1:36" x14ac:dyDescent="0.2">
      <c r="A39" s="31">
        <v>1</v>
      </c>
      <c r="B39" s="31" t="s">
        <v>86</v>
      </c>
      <c r="C39" s="31" t="s">
        <v>87</v>
      </c>
      <c r="D39" s="31" t="s">
        <v>32</v>
      </c>
      <c r="E39" s="31" t="s">
        <v>88</v>
      </c>
      <c r="F39" s="31" t="s">
        <v>238</v>
      </c>
      <c r="G39" s="31" t="s">
        <v>33</v>
      </c>
      <c r="H39" s="40">
        <v>44627</v>
      </c>
      <c r="I39" s="40">
        <f>IF(ALL_PROD_RISK3[[#This Row],[MATURITY]]='INPUT_BONDS (2)'!$AM$2,'INPUT_BONDS (2)'!$AN$2,ALL_PROD_RISK3[[#This Row],[MATURITY]])</f>
        <v>46631</v>
      </c>
      <c r="J39" s="32">
        <v>3.7499999999999999E-3</v>
      </c>
      <c r="K39" s="36" t="s">
        <v>262</v>
      </c>
      <c r="L39" s="31">
        <v>1</v>
      </c>
      <c r="M39" s="31" t="s">
        <v>89</v>
      </c>
      <c r="N39" s="31" t="s">
        <v>159</v>
      </c>
      <c r="O39" s="31" t="s">
        <v>161</v>
      </c>
      <c r="P39" s="31" t="s">
        <v>34</v>
      </c>
      <c r="W39" s="31" t="s">
        <v>35</v>
      </c>
      <c r="X39" s="31">
        <v>1</v>
      </c>
      <c r="Y39" s="31" t="s">
        <v>147</v>
      </c>
      <c r="Z39" s="31" t="s">
        <v>38</v>
      </c>
      <c r="AB39" s="37">
        <f ca="1">(ALL_PROD_RISK6[[#This Row],[MATURITY]]-TODAY())/365</f>
        <v>3.5095890410958903</v>
      </c>
      <c r="AC39" s="38">
        <v>0</v>
      </c>
      <c r="AD39" s="38">
        <v>0</v>
      </c>
      <c r="AE39" s="38"/>
      <c r="AF39" s="38"/>
      <c r="AG39" s="38"/>
      <c r="AH39" s="38">
        <v>7</v>
      </c>
      <c r="AI39" s="39" t="s">
        <v>147</v>
      </c>
      <c r="AJ39" s="21">
        <v>0</v>
      </c>
    </row>
    <row r="40" spans="1:36" x14ac:dyDescent="0.2">
      <c r="A40" s="31">
        <v>1</v>
      </c>
      <c r="B40" s="31" t="s">
        <v>90</v>
      </c>
      <c r="C40" s="31" t="s">
        <v>91</v>
      </c>
      <c r="D40" s="31" t="s">
        <v>32</v>
      </c>
      <c r="E40" s="31" t="s">
        <v>92</v>
      </c>
      <c r="F40" s="31" t="s">
        <v>238</v>
      </c>
      <c r="G40" s="31" t="s">
        <v>33</v>
      </c>
      <c r="H40" s="40">
        <v>44627</v>
      </c>
      <c r="I40" s="40">
        <f>IF(ALL_PROD_RISK3[[#This Row],[MATURITY]]='INPUT_BONDS (2)'!$AM$2,'INPUT_BONDS (2)'!$AN$2,ALL_PROD_RISK3[[#This Row],[MATURITY]])</f>
        <v>46407</v>
      </c>
      <c r="J40" s="32">
        <v>1.6250000000000001E-2</v>
      </c>
      <c r="K40" s="36"/>
      <c r="L40" s="31">
        <v>1</v>
      </c>
      <c r="M40" s="31" t="s">
        <v>93</v>
      </c>
      <c r="N40" s="31" t="s">
        <v>159</v>
      </c>
      <c r="O40" s="31" t="s">
        <v>161</v>
      </c>
      <c r="P40" s="31" t="s">
        <v>34</v>
      </c>
      <c r="W40" s="31" t="s">
        <v>35</v>
      </c>
      <c r="X40" s="31">
        <v>1</v>
      </c>
      <c r="Y40" s="31" t="s">
        <v>147</v>
      </c>
      <c r="Z40" s="31" t="s">
        <v>94</v>
      </c>
      <c r="AB40" s="37">
        <f ca="1">(ALL_PROD_RISK6[[#This Row],[MATURITY]]-TODAY())/365</f>
        <v>2.8958904109589043</v>
      </c>
      <c r="AC40" s="38" t="e">
        <f>_xlfn.XLOOKUP(ALL_PROD_RISK6[[#This Row],[Rank]],[1]!RANKtbl[Rank],[1]!RANKtbl[STEPS])</f>
        <v>#REF!</v>
      </c>
      <c r="AD40" s="38">
        <f>IF(ALL_PROD_RISK6[[#This Row],[RATING]]="AAA",-7,)</f>
        <v>0</v>
      </c>
      <c r="AE40" s="38"/>
      <c r="AF40" s="38"/>
      <c r="AG40" s="38"/>
      <c r="AH40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40" s="39" t="e">
        <f>IF(ALL_PROD_RISK6[[#This Row],[C_INDEX]]&lt;1,"AAA",_xlfn.XLOOKUP(ALL_PROD_RISK6[[#This Row],[C_INDEX]],[1]!CS_RATING[INDEX],[1]!CS_RATING[RATING]))</f>
        <v>#REF!</v>
      </c>
      <c r="AJ40" s="21">
        <v>0</v>
      </c>
    </row>
    <row r="41" spans="1:36" x14ac:dyDescent="0.2">
      <c r="A41" s="31">
        <v>1</v>
      </c>
      <c r="B41" s="31" t="s">
        <v>95</v>
      </c>
      <c r="C41" s="31" t="s">
        <v>96</v>
      </c>
      <c r="D41" s="31" t="s">
        <v>32</v>
      </c>
      <c r="E41" s="31" t="s">
        <v>97</v>
      </c>
      <c r="F41" s="31" t="s">
        <v>238</v>
      </c>
      <c r="G41" s="31" t="s">
        <v>33</v>
      </c>
      <c r="H41" s="40">
        <v>44649</v>
      </c>
      <c r="I41" s="40">
        <f>IF(ALL_PROD_RISK3[[#This Row],[MATURITY]]='INPUT_BONDS (2)'!$AM$2,'INPUT_BONDS (2)'!$AN$2,ALL_PROD_RISK3[[#This Row],[MATURITY]])</f>
        <v>46652</v>
      </c>
      <c r="J41" s="32">
        <v>0</v>
      </c>
      <c r="K41" s="36"/>
      <c r="L41" s="31">
        <v>1</v>
      </c>
      <c r="M41" s="31" t="s">
        <v>98</v>
      </c>
      <c r="N41" s="31" t="s">
        <v>159</v>
      </c>
      <c r="O41" s="31" t="s">
        <v>161</v>
      </c>
      <c r="P41" s="31" t="s">
        <v>34</v>
      </c>
      <c r="W41" s="31" t="s">
        <v>35</v>
      </c>
      <c r="X41" s="31">
        <v>1</v>
      </c>
      <c r="Y41" s="31" t="s">
        <v>152</v>
      </c>
      <c r="Z41" s="31" t="s">
        <v>38</v>
      </c>
      <c r="AB41" s="37">
        <f ca="1">(ALL_PROD_RISK6[[#This Row],[MATURITY]]-TODAY())/365</f>
        <v>3.5671232876712327</v>
      </c>
      <c r="AC41" s="38" t="e">
        <f>_xlfn.XLOOKUP(ALL_PROD_RISK6[[#This Row],[Rank]],[1]!RANKtbl[Rank],[1]!RANKtbl[STEPS])</f>
        <v>#REF!</v>
      </c>
      <c r="AD41" s="38">
        <f>IF(ALL_PROD_RISK6[[#This Row],[RATING]]="AAA",-7,)</f>
        <v>-7</v>
      </c>
      <c r="AE41" s="38"/>
      <c r="AF41" s="38"/>
      <c r="AG41" s="38"/>
      <c r="AH41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41" s="39" t="e">
        <f>IF(ALL_PROD_RISK6[[#This Row],[C_INDEX]]&lt;1,"AAA",_xlfn.XLOOKUP(ALL_PROD_RISK6[[#This Row],[C_INDEX]],[1]!CS_RATING[INDEX],[1]!CS_RATING[RATING]))</f>
        <v>#REF!</v>
      </c>
      <c r="AJ41" s="21">
        <v>0</v>
      </c>
    </row>
    <row r="42" spans="1:36" x14ac:dyDescent="0.2">
      <c r="A42" s="31">
        <v>1</v>
      </c>
      <c r="B42" s="31" t="s">
        <v>99</v>
      </c>
      <c r="C42" s="31" t="s">
        <v>100</v>
      </c>
      <c r="D42" s="31" t="s">
        <v>32</v>
      </c>
      <c r="E42" s="31" t="s">
        <v>101</v>
      </c>
      <c r="F42" s="31" t="s">
        <v>238</v>
      </c>
      <c r="G42" s="31" t="s">
        <v>33</v>
      </c>
      <c r="H42" s="40">
        <v>44649</v>
      </c>
      <c r="I42" s="40">
        <f>IF(ALL_PROD_RISK3[[#This Row],[MATURITY]]='INPUT_BONDS (2)'!$AM$2,'INPUT_BONDS (2)'!$AN$2,ALL_PROD_RISK3[[#This Row],[MATURITY]])</f>
        <v>46703</v>
      </c>
      <c r="J42" s="32">
        <v>1E-4</v>
      </c>
      <c r="K42" s="36"/>
      <c r="L42" s="31">
        <v>1</v>
      </c>
      <c r="M42" s="31" t="s">
        <v>102</v>
      </c>
      <c r="N42" s="31" t="s">
        <v>159</v>
      </c>
      <c r="O42" s="31" t="s">
        <v>161</v>
      </c>
      <c r="P42" s="31" t="s">
        <v>34</v>
      </c>
      <c r="W42" s="31" t="s">
        <v>35</v>
      </c>
      <c r="X42" s="31">
        <v>1</v>
      </c>
      <c r="Y42" s="31" t="s">
        <v>152</v>
      </c>
      <c r="Z42" s="31" t="s">
        <v>38</v>
      </c>
      <c r="AB42" s="37">
        <f ca="1">(ALL_PROD_RISK6[[#This Row],[MATURITY]]-TODAY())/365</f>
        <v>3.7068493150684931</v>
      </c>
      <c r="AC42" s="38" t="e">
        <f>_xlfn.XLOOKUP(ALL_PROD_RISK6[[#This Row],[Rank]],[1]!RANKtbl[Rank],[1]!RANKtbl[STEPS])</f>
        <v>#REF!</v>
      </c>
      <c r="AD42" s="38">
        <f>IF(ALL_PROD_RISK6[[#This Row],[RATING]]="AAA",-7,)</f>
        <v>-7</v>
      </c>
      <c r="AE42" s="38"/>
      <c r="AF42" s="38"/>
      <c r="AG42" s="38"/>
      <c r="AH42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42" s="39" t="e">
        <f>IF(ALL_PROD_RISK6[[#This Row],[C_INDEX]]&lt;1,"AAA",_xlfn.XLOOKUP(ALL_PROD_RISK6[[#This Row],[C_INDEX]],[1]!CS_RATING[INDEX],[1]!CS_RATING[RATING]))</f>
        <v>#REF!</v>
      </c>
      <c r="AJ42" s="21">
        <v>0</v>
      </c>
    </row>
    <row r="43" spans="1:36" x14ac:dyDescent="0.2">
      <c r="A43" s="31">
        <v>1</v>
      </c>
      <c r="B43" s="31" t="s">
        <v>103</v>
      </c>
      <c r="C43" s="31" t="s">
        <v>104</v>
      </c>
      <c r="D43" s="31" t="s">
        <v>32</v>
      </c>
      <c r="E43" s="31" t="s">
        <v>105</v>
      </c>
      <c r="F43" s="31" t="s">
        <v>238</v>
      </c>
      <c r="G43" s="31" t="s">
        <v>33</v>
      </c>
      <c r="H43" s="40">
        <v>44649</v>
      </c>
      <c r="I43" s="40">
        <f>IF(ALL_PROD_RISK3[[#This Row],[MATURITY]]='INPUT_BONDS (2)'!$AM$2,'INPUT_BONDS (2)'!$AN$2,ALL_PROD_RISK3[[#This Row],[MATURITY]])</f>
        <v>46793</v>
      </c>
      <c r="J43" s="32">
        <v>1.25E-3</v>
      </c>
      <c r="K43" s="36"/>
      <c r="L43" s="31">
        <v>1</v>
      </c>
      <c r="M43" s="31" t="s">
        <v>106</v>
      </c>
      <c r="N43" s="31" t="s">
        <v>159</v>
      </c>
      <c r="O43" s="31" t="s">
        <v>161</v>
      </c>
      <c r="P43" s="31" t="s">
        <v>34</v>
      </c>
      <c r="W43" s="31" t="s">
        <v>35</v>
      </c>
      <c r="X43" s="31">
        <v>1</v>
      </c>
      <c r="Y43" s="31" t="s">
        <v>147</v>
      </c>
      <c r="Z43" s="31" t="s">
        <v>38</v>
      </c>
      <c r="AB43" s="37">
        <f ca="1">(ALL_PROD_RISK6[[#This Row],[MATURITY]]-TODAY())/365</f>
        <v>3.9534246575342467</v>
      </c>
      <c r="AC43" s="38" t="e">
        <f>_xlfn.XLOOKUP(ALL_PROD_RISK6[[#This Row],[Rank]],[1]!RANKtbl[Rank],[1]!RANKtbl[STEPS])</f>
        <v>#REF!</v>
      </c>
      <c r="AD43" s="38">
        <f>IF(ALL_PROD_RISK6[[#This Row],[RATING]]="AAA",-7,)</f>
        <v>0</v>
      </c>
      <c r="AE43" s="38"/>
      <c r="AF43" s="38"/>
      <c r="AG43" s="38"/>
      <c r="AH43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43" s="39" t="e">
        <f>IF(ALL_PROD_RISK6[[#This Row],[C_INDEX]]&lt;1,"AAA",_xlfn.XLOOKUP(ALL_PROD_RISK6[[#This Row],[C_INDEX]],[1]!CS_RATING[INDEX],[1]!CS_RATING[RATING]))</f>
        <v>#REF!</v>
      </c>
      <c r="AJ43" s="21">
        <v>0</v>
      </c>
    </row>
    <row r="44" spans="1:36" x14ac:dyDescent="0.2">
      <c r="A44" s="31">
        <v>1</v>
      </c>
      <c r="B44" s="31" t="s">
        <v>107</v>
      </c>
      <c r="C44" s="31" t="s">
        <v>108</v>
      </c>
      <c r="D44" s="31" t="s">
        <v>32</v>
      </c>
      <c r="E44" s="31" t="s">
        <v>109</v>
      </c>
      <c r="F44" s="31" t="s">
        <v>238</v>
      </c>
      <c r="G44" s="31" t="s">
        <v>33</v>
      </c>
      <c r="H44" s="40">
        <v>44680</v>
      </c>
      <c r="I44" s="40">
        <f>IF(ALL_PROD_RISK3[[#This Row],[MATURITY]]='INPUT_BONDS (2)'!$AM$2,'INPUT_BONDS (2)'!$AN$2,ALL_PROD_RISK3[[#This Row],[MATURITY]])</f>
        <v>46421</v>
      </c>
      <c r="J44" s="32">
        <v>1.375E-2</v>
      </c>
      <c r="K44" s="36"/>
      <c r="L44" s="31">
        <v>1</v>
      </c>
      <c r="M44" s="31" t="s">
        <v>110</v>
      </c>
      <c r="N44" s="31" t="s">
        <v>159</v>
      </c>
      <c r="O44" s="31" t="s">
        <v>162</v>
      </c>
      <c r="P44" s="31" t="s">
        <v>34</v>
      </c>
      <c r="W44" s="31" t="s">
        <v>35</v>
      </c>
      <c r="X44" s="31">
        <v>1</v>
      </c>
      <c r="Y44" s="31" t="s">
        <v>146</v>
      </c>
      <c r="Z44" s="31" t="s">
        <v>38</v>
      </c>
      <c r="AB44" s="37">
        <f ca="1">(ALL_PROD_RISK6[[#This Row],[MATURITY]]-TODAY())/365</f>
        <v>2.9342465753424656</v>
      </c>
      <c r="AC44" s="38" t="e">
        <f>_xlfn.XLOOKUP(ALL_PROD_RISK6[[#This Row],[Rank]],[1]!RANKtbl[Rank],[1]!RANKtbl[STEPS])</f>
        <v>#REF!</v>
      </c>
      <c r="AD44" s="38">
        <f>IF(ALL_PROD_RISK6[[#This Row],[RATING]]="AAA",-7,)</f>
        <v>0</v>
      </c>
      <c r="AE44" s="38"/>
      <c r="AF44" s="38"/>
      <c r="AG44" s="38"/>
      <c r="AH44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44" s="39" t="e">
        <f>IF(ALL_PROD_RISK6[[#This Row],[C_INDEX]]&lt;1,"AAA",_xlfn.XLOOKUP(ALL_PROD_RISK6[[#This Row],[C_INDEX]],[1]!CS_RATING[INDEX],[1]!CS_RATING[RATING]))</f>
        <v>#REF!</v>
      </c>
      <c r="AJ44" s="21">
        <v>0</v>
      </c>
    </row>
    <row r="45" spans="1:36" x14ac:dyDescent="0.2">
      <c r="A45" s="31">
        <v>1</v>
      </c>
      <c r="B45" s="31" t="s">
        <v>209</v>
      </c>
      <c r="C45" s="31" t="s">
        <v>210</v>
      </c>
      <c r="D45" s="31" t="s">
        <v>211</v>
      </c>
      <c r="E45" s="31" t="s">
        <v>92</v>
      </c>
      <c r="F45" s="31" t="s">
        <v>238</v>
      </c>
      <c r="G45" s="31" t="s">
        <v>33</v>
      </c>
      <c r="H45" s="40">
        <v>43994</v>
      </c>
      <c r="I45" s="40">
        <f>IF(ALL_PROD_RISK3[[#This Row],[MATURITY]]='INPUT_BONDS (2)'!$AM$2,'INPUT_BONDS (2)'!$AN$2,ALL_PROD_RISK3[[#This Row],[MATURITY]])</f>
        <v>46183</v>
      </c>
      <c r="J45" s="32">
        <v>1.375E-2</v>
      </c>
      <c r="K45" s="36"/>
      <c r="L45" s="31">
        <v>1</v>
      </c>
      <c r="M45" s="31" t="s">
        <v>93</v>
      </c>
      <c r="N45" s="31" t="s">
        <v>159</v>
      </c>
      <c r="O45" s="31" t="s">
        <v>161</v>
      </c>
      <c r="P45" s="31" t="s">
        <v>191</v>
      </c>
      <c r="Q45" s="31">
        <v>1</v>
      </c>
      <c r="R45" s="31" t="s">
        <v>192</v>
      </c>
      <c r="S45" s="31">
        <v>0</v>
      </c>
      <c r="T45" s="31">
        <v>1</v>
      </c>
      <c r="U45" s="31">
        <v>1.67E-2</v>
      </c>
      <c r="W45" s="31" t="s">
        <v>212</v>
      </c>
      <c r="X45" s="31">
        <v>1</v>
      </c>
      <c r="Y45" s="31" t="s">
        <v>147</v>
      </c>
      <c r="Z45" s="31" t="s">
        <v>94</v>
      </c>
      <c r="AB45" s="37">
        <f ca="1">(ALL_PROD_RISK6[[#This Row],[MATURITY]]-TODAY())/365</f>
        <v>2.2821917808219179</v>
      </c>
      <c r="AC45" s="38" t="e">
        <f>_xlfn.XLOOKUP(ALL_PROD_RISK6[[#This Row],[Rank]],[1]!RANKtbl[Rank],[1]!RANKtbl[STEPS])</f>
        <v>#REF!</v>
      </c>
      <c r="AD45" s="38">
        <f>IF(ALL_PROD_RISK6[[#This Row],[RATING]]="AAA",-7,)</f>
        <v>0</v>
      </c>
      <c r="AE45" s="38"/>
      <c r="AF45" s="38"/>
      <c r="AG45" s="38"/>
      <c r="AH45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45" s="39" t="e">
        <f>IF(ALL_PROD_RISK6[[#This Row],[C_INDEX]]&lt;1,"AAA",_xlfn.XLOOKUP(ALL_PROD_RISK6[[#This Row],[C_INDEX]],[1]!CS_RATING[INDEX],[1]!CS_RATING[RATING]))</f>
        <v>#REF!</v>
      </c>
      <c r="AJ45" s="21">
        <v>0</v>
      </c>
    </row>
    <row r="46" spans="1:36" x14ac:dyDescent="0.2">
      <c r="A46" s="31">
        <v>1</v>
      </c>
      <c r="B46" s="31" t="s">
        <v>111</v>
      </c>
      <c r="C46" s="31" t="s">
        <v>112</v>
      </c>
      <c r="D46" s="31" t="s">
        <v>32</v>
      </c>
      <c r="E46" s="31" t="s">
        <v>113</v>
      </c>
      <c r="F46" s="31" t="s">
        <v>238</v>
      </c>
      <c r="G46" s="31" t="s">
        <v>33</v>
      </c>
      <c r="H46" s="40">
        <v>44680</v>
      </c>
      <c r="I46" s="40">
        <f>IF(ALL_PROD_RISK3[[#This Row],[MATURITY]]='INPUT_BONDS (2)'!$AM$2,'INPUT_BONDS (2)'!$AN$2,ALL_PROD_RISK3[[#This Row],[MATURITY]])</f>
        <v>45763</v>
      </c>
      <c r="J46" s="32">
        <v>0.01</v>
      </c>
      <c r="K46" s="36"/>
      <c r="L46" s="31">
        <v>1</v>
      </c>
      <c r="M46" s="31" t="s">
        <v>114</v>
      </c>
      <c r="N46" s="31" t="s">
        <v>159</v>
      </c>
      <c r="O46" s="31" t="s">
        <v>162</v>
      </c>
      <c r="P46" s="31" t="s">
        <v>34</v>
      </c>
      <c r="W46" s="31" t="s">
        <v>35</v>
      </c>
      <c r="X46" s="31">
        <v>1</v>
      </c>
      <c r="Y46" s="31" t="s">
        <v>150</v>
      </c>
      <c r="Z46" s="31" t="s">
        <v>38</v>
      </c>
      <c r="AB46" s="37">
        <f ca="1">(ALL_PROD_RISK6[[#This Row],[MATURITY]]-TODAY())/365</f>
        <v>1.1315068493150684</v>
      </c>
      <c r="AC46" s="38" t="e">
        <f>_xlfn.XLOOKUP(ALL_PROD_RISK6[[#This Row],[Rank]],[1]!RANKtbl[Rank],[1]!RANKtbl[STEPS])</f>
        <v>#REF!</v>
      </c>
      <c r="AD46" s="38">
        <f>IF(ALL_PROD_RISK6[[#This Row],[RATING]]="AAA",-7,)</f>
        <v>0</v>
      </c>
      <c r="AE46" s="38"/>
      <c r="AF46" s="38"/>
      <c r="AG46" s="38"/>
      <c r="AH46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46" s="39" t="e">
        <f>IF(ALL_PROD_RISK6[[#This Row],[C_INDEX]]&lt;1,"AAA",_xlfn.XLOOKUP(ALL_PROD_RISK6[[#This Row],[C_INDEX]],[1]!CS_RATING[INDEX],[1]!CS_RATING[RATING]))</f>
        <v>#REF!</v>
      </c>
      <c r="AJ46" s="21">
        <v>0</v>
      </c>
    </row>
    <row r="47" spans="1:36" x14ac:dyDescent="0.2">
      <c r="A47" s="31">
        <v>1</v>
      </c>
      <c r="B47" s="31" t="s">
        <v>115</v>
      </c>
      <c r="C47" s="31" t="s">
        <v>116</v>
      </c>
      <c r="D47" s="31" t="s">
        <v>32</v>
      </c>
      <c r="E47" s="31" t="s">
        <v>117</v>
      </c>
      <c r="F47" s="31" t="s">
        <v>238</v>
      </c>
      <c r="G47" s="31" t="s">
        <v>33</v>
      </c>
      <c r="H47" s="40">
        <v>44676</v>
      </c>
      <c r="I47" s="40">
        <f>IF(ALL_PROD_RISK3[[#This Row],[MATURITY]]='INPUT_BONDS (2)'!$AM$2,'INPUT_BONDS (2)'!$AN$2,ALL_PROD_RISK3[[#This Row],[MATURITY]])</f>
        <v>45761</v>
      </c>
      <c r="J47" s="32">
        <v>1.375E-2</v>
      </c>
      <c r="K47" s="36"/>
      <c r="L47" s="31">
        <v>1</v>
      </c>
      <c r="M47" s="31" t="s">
        <v>118</v>
      </c>
      <c r="N47" s="31" t="s">
        <v>159</v>
      </c>
      <c r="O47" s="31" t="s">
        <v>160</v>
      </c>
      <c r="P47" s="31" t="s">
        <v>34</v>
      </c>
      <c r="W47" s="31" t="s">
        <v>35</v>
      </c>
      <c r="X47" s="31">
        <v>1</v>
      </c>
      <c r="Y47" s="31" t="s">
        <v>150</v>
      </c>
      <c r="Z47" s="31" t="s">
        <v>38</v>
      </c>
      <c r="AB47" s="37">
        <f ca="1">(ALL_PROD_RISK6[[#This Row],[MATURITY]]-TODAY())/365</f>
        <v>1.1260273972602739</v>
      </c>
      <c r="AC47" s="38" t="e">
        <f>_xlfn.XLOOKUP(ALL_PROD_RISK6[[#This Row],[Rank]],[1]!RANKtbl[Rank],[1]!RANKtbl[STEPS])</f>
        <v>#REF!</v>
      </c>
      <c r="AD47" s="38">
        <f>IF(ALL_PROD_RISK6[[#This Row],[RATING]]="AAA",-7,)</f>
        <v>0</v>
      </c>
      <c r="AE47" s="38"/>
      <c r="AF47" s="38"/>
      <c r="AG47" s="38"/>
      <c r="AH47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47" s="39" t="e">
        <f>IF(ALL_PROD_RISK6[[#This Row],[C_INDEX]]&lt;1,"AAA",_xlfn.XLOOKUP(ALL_PROD_RISK6[[#This Row],[C_INDEX]],[1]!CS_RATING[INDEX],[1]!CS_RATING[RATING]))</f>
        <v>#REF!</v>
      </c>
      <c r="AJ47" s="21">
        <v>0</v>
      </c>
    </row>
    <row r="48" spans="1:36" x14ac:dyDescent="0.2">
      <c r="A48" s="31">
        <v>1</v>
      </c>
      <c r="B48" s="31" t="s">
        <v>119</v>
      </c>
      <c r="C48" s="31" t="s">
        <v>120</v>
      </c>
      <c r="D48" s="31" t="s">
        <v>32</v>
      </c>
      <c r="E48" s="31" t="s">
        <v>39</v>
      </c>
      <c r="F48" s="31" t="s">
        <v>238</v>
      </c>
      <c r="G48" s="31" t="s">
        <v>33</v>
      </c>
      <c r="H48" s="40">
        <v>44705</v>
      </c>
      <c r="I48" s="40">
        <f>IF(ALL_PROD_RISK3[[#This Row],[MATURITY]]='INPUT_BONDS (2)'!$AM$2,'INPUT_BONDS (2)'!$AN$2,ALL_PROD_RISK3[[#This Row],[MATURITY]])</f>
        <v>46568</v>
      </c>
      <c r="J48" s="32">
        <v>1.8749999999999999E-2</v>
      </c>
      <c r="K48" s="36"/>
      <c r="L48" s="31">
        <v>1</v>
      </c>
      <c r="M48" s="31" t="s">
        <v>40</v>
      </c>
      <c r="N48" s="31" t="s">
        <v>159</v>
      </c>
      <c r="O48" s="31" t="s">
        <v>160</v>
      </c>
      <c r="P48" s="31" t="s">
        <v>34</v>
      </c>
      <c r="W48" s="31" t="s">
        <v>35</v>
      </c>
      <c r="X48" s="31">
        <v>1</v>
      </c>
      <c r="Y48" s="31" t="s">
        <v>146</v>
      </c>
      <c r="Z48" s="31" t="s">
        <v>38</v>
      </c>
      <c r="AB48" s="37">
        <f ca="1">(ALL_PROD_RISK6[[#This Row],[MATURITY]]-TODAY())/365</f>
        <v>3.3369863013698629</v>
      </c>
      <c r="AC48" s="38" t="e">
        <f>_xlfn.XLOOKUP(ALL_PROD_RISK6[[#This Row],[Rank]],[1]!RANKtbl[Rank],[1]!RANKtbl[STEPS])</f>
        <v>#REF!</v>
      </c>
      <c r="AD48" s="38">
        <f>IF(ALL_PROD_RISK6[[#This Row],[RATING]]="AAA",-7,)</f>
        <v>0</v>
      </c>
      <c r="AE48" s="38"/>
      <c r="AF48" s="38"/>
      <c r="AG48" s="38"/>
      <c r="AH48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48" s="39" t="e">
        <f>IF(ALL_PROD_RISK6[[#This Row],[C_INDEX]]&lt;1,"AAA",_xlfn.XLOOKUP(ALL_PROD_RISK6[[#This Row],[C_INDEX]],[1]!CS_RATING[INDEX],[1]!CS_RATING[RATING]))</f>
        <v>#REF!</v>
      </c>
      <c r="AJ48" s="21">
        <v>0</v>
      </c>
    </row>
    <row r="49" spans="1:36" x14ac:dyDescent="0.2">
      <c r="A49" s="31">
        <v>1</v>
      </c>
      <c r="B49" s="31" t="s">
        <v>121</v>
      </c>
      <c r="C49" s="31" t="s">
        <v>122</v>
      </c>
      <c r="D49" s="31" t="s">
        <v>32</v>
      </c>
      <c r="E49" s="31" t="s">
        <v>109</v>
      </c>
      <c r="F49" s="31" t="s">
        <v>238</v>
      </c>
      <c r="G49" s="31" t="s">
        <v>33</v>
      </c>
      <c r="H49" s="40">
        <v>44697</v>
      </c>
      <c r="I49" s="40">
        <f>IF(ALL_PROD_RISK3[[#This Row],[MATURITY]]='INPUT_BONDS (2)'!$AM$2,'INPUT_BONDS (2)'!$AN$2,ALL_PROD_RISK3[[#This Row],[MATURITY]])</f>
        <v>45349</v>
      </c>
      <c r="J49" s="32">
        <v>6.2500000000000003E-3</v>
      </c>
      <c r="K49" s="36"/>
      <c r="L49" s="31">
        <v>1</v>
      </c>
      <c r="M49" s="31" t="s">
        <v>110</v>
      </c>
      <c r="N49" s="31" t="s">
        <v>159</v>
      </c>
      <c r="O49" s="31" t="s">
        <v>162</v>
      </c>
      <c r="P49" s="31" t="s">
        <v>34</v>
      </c>
      <c r="W49" s="31" t="s">
        <v>35</v>
      </c>
      <c r="X49" s="31">
        <v>1</v>
      </c>
      <c r="Y49" s="31" t="s">
        <v>146</v>
      </c>
      <c r="Z49" s="31" t="s">
        <v>38</v>
      </c>
      <c r="AB49" s="37">
        <f ca="1">(ALL_PROD_RISK6[[#This Row],[MATURITY]]-TODAY())/365</f>
        <v>-2.7397260273972603E-3</v>
      </c>
      <c r="AC49" s="38" t="e">
        <f>_xlfn.XLOOKUP(ALL_PROD_RISK6[[#This Row],[Rank]],[1]!RANKtbl[Rank],[1]!RANKtbl[STEPS])</f>
        <v>#REF!</v>
      </c>
      <c r="AD49" s="38">
        <f>IF(ALL_PROD_RISK6[[#This Row],[RATING]]="AAA",-7,)</f>
        <v>0</v>
      </c>
      <c r="AE49" s="38"/>
      <c r="AF49" s="38"/>
      <c r="AG49" s="38"/>
      <c r="AH49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49" s="39" t="e">
        <f>IF(ALL_PROD_RISK6[[#This Row],[C_INDEX]]&lt;1,"AAA",_xlfn.XLOOKUP(ALL_PROD_RISK6[[#This Row],[C_INDEX]],[1]!CS_RATING[INDEX],[1]!CS_RATING[RATING]))</f>
        <v>#REF!</v>
      </c>
      <c r="AJ49" s="21">
        <v>0</v>
      </c>
    </row>
    <row r="50" spans="1:36" x14ac:dyDescent="0.2">
      <c r="A50" s="31">
        <v>1</v>
      </c>
      <c r="B50" s="31" t="s">
        <v>123</v>
      </c>
      <c r="C50" s="31" t="s">
        <v>124</v>
      </c>
      <c r="D50" s="31" t="s">
        <v>32</v>
      </c>
      <c r="E50" s="31" t="s">
        <v>125</v>
      </c>
      <c r="F50" s="31" t="s">
        <v>238</v>
      </c>
      <c r="G50" s="31" t="s">
        <v>33</v>
      </c>
      <c r="H50" s="40">
        <v>44714</v>
      </c>
      <c r="I50" s="40">
        <f>IF(ALL_PROD_RISK3[[#This Row],[MATURITY]]='INPUT_BONDS (2)'!$AM$2,'INPUT_BONDS (2)'!$AN$2,ALL_PROD_RISK3[[#This Row],[MATURITY]])</f>
        <v>45838</v>
      </c>
      <c r="J50" s="32">
        <v>2.5000000000000001E-3</v>
      </c>
      <c r="K50" s="36"/>
      <c r="L50" s="31">
        <v>1</v>
      </c>
      <c r="M50" s="31" t="s">
        <v>126</v>
      </c>
      <c r="N50" s="31" t="s">
        <v>159</v>
      </c>
      <c r="O50" s="31" t="s">
        <v>161</v>
      </c>
      <c r="P50" s="31" t="s">
        <v>34</v>
      </c>
      <c r="W50" s="31" t="s">
        <v>35</v>
      </c>
      <c r="X50" s="31">
        <v>1</v>
      </c>
      <c r="Y50" s="31" t="s">
        <v>152</v>
      </c>
      <c r="Z50" s="31" t="s">
        <v>38</v>
      </c>
      <c r="AB50" s="37">
        <f ca="1">(ALL_PROD_RISK6[[#This Row],[MATURITY]]-TODAY())/365</f>
        <v>1.3369863013698631</v>
      </c>
      <c r="AC50" s="38" t="e">
        <f>_xlfn.XLOOKUP(ALL_PROD_RISK6[[#This Row],[Rank]],[1]!RANKtbl[Rank],[1]!RANKtbl[STEPS])</f>
        <v>#REF!</v>
      </c>
      <c r="AD50" s="38">
        <f>IF(ALL_PROD_RISK6[[#This Row],[RATING]]="AAA",-7,)</f>
        <v>-7</v>
      </c>
      <c r="AE50" s="38"/>
      <c r="AF50" s="38"/>
      <c r="AG50" s="38"/>
      <c r="AH50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50" s="39" t="e">
        <f>IF(ALL_PROD_RISK6[[#This Row],[C_INDEX]]&lt;1,"AAA",_xlfn.XLOOKUP(ALL_PROD_RISK6[[#This Row],[C_INDEX]],[1]!CS_RATING[INDEX],[1]!CS_RATING[RATING]))</f>
        <v>#REF!</v>
      </c>
      <c r="AJ50" s="21">
        <v>0</v>
      </c>
    </row>
    <row r="51" spans="1:36" x14ac:dyDescent="0.2">
      <c r="A51" s="31">
        <v>1</v>
      </c>
      <c r="B51" s="31" t="s">
        <v>213</v>
      </c>
      <c r="C51" s="31" t="s">
        <v>214</v>
      </c>
      <c r="D51" s="31" t="s">
        <v>32</v>
      </c>
      <c r="E51" s="31" t="s">
        <v>39</v>
      </c>
      <c r="F51" s="31" t="s">
        <v>238</v>
      </c>
      <c r="G51" s="31" t="s">
        <v>33</v>
      </c>
      <c r="H51" s="40">
        <v>44739</v>
      </c>
      <c r="I51" s="40">
        <f>IF(ALL_PROD_RISK3[[#This Row],[MATURITY]]='INPUT_BONDS (2)'!$AM$2,'INPUT_BONDS (2)'!$AN$2,ALL_PROD_RISK3[[#This Row],[MATURITY]])</f>
        <v>46568</v>
      </c>
      <c r="J51" s="32">
        <v>1.8749999999999999E-2</v>
      </c>
      <c r="K51" s="36"/>
      <c r="L51" s="31">
        <v>1</v>
      </c>
      <c r="M51" s="31" t="s">
        <v>40</v>
      </c>
      <c r="N51" s="31" t="s">
        <v>159</v>
      </c>
      <c r="O51" s="31" t="s">
        <v>160</v>
      </c>
      <c r="P51" s="31" t="s">
        <v>191</v>
      </c>
      <c r="Q51" s="31">
        <v>1</v>
      </c>
      <c r="R51" s="31" t="s">
        <v>192</v>
      </c>
      <c r="S51" s="31">
        <v>0</v>
      </c>
      <c r="T51" s="31">
        <v>1</v>
      </c>
      <c r="U51" s="31">
        <v>0</v>
      </c>
      <c r="W51" s="31" t="s">
        <v>212</v>
      </c>
      <c r="X51" s="31">
        <v>1</v>
      </c>
      <c r="Y51" s="31" t="s">
        <v>146</v>
      </c>
      <c r="Z51" s="31" t="s">
        <v>38</v>
      </c>
      <c r="AB51" s="37">
        <f ca="1">(ALL_PROD_RISK6[[#This Row],[MATURITY]]-TODAY())/365</f>
        <v>3.3369863013698629</v>
      </c>
      <c r="AC51" s="38" t="e">
        <f>_xlfn.XLOOKUP(ALL_PROD_RISK6[[#This Row],[Rank]],[1]!RANKtbl[Rank],[1]!RANKtbl[STEPS])</f>
        <v>#REF!</v>
      </c>
      <c r="AD51" s="38">
        <f>IF(ALL_PROD_RISK6[[#This Row],[RATING]]="AAA",-7,)</f>
        <v>0</v>
      </c>
      <c r="AE51" s="38"/>
      <c r="AF51" s="38"/>
      <c r="AG51" s="38"/>
      <c r="AH51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51" s="39" t="e">
        <f>IF(ALL_PROD_RISK6[[#This Row],[C_INDEX]]&lt;1,"AAA",_xlfn.XLOOKUP(ALL_PROD_RISK6[[#This Row],[C_INDEX]],[1]!CS_RATING[INDEX],[1]!CS_RATING[RATING]))</f>
        <v>#REF!</v>
      </c>
      <c r="AJ51" s="21">
        <v>0</v>
      </c>
    </row>
    <row r="52" spans="1:36" x14ac:dyDescent="0.2">
      <c r="A52" s="31">
        <v>1</v>
      </c>
      <c r="B52" s="31" t="s">
        <v>127</v>
      </c>
      <c r="C52" s="31" t="s">
        <v>128</v>
      </c>
      <c r="D52" s="31" t="s">
        <v>32</v>
      </c>
      <c r="E52" s="31" t="s">
        <v>129</v>
      </c>
      <c r="F52" s="31" t="s">
        <v>238</v>
      </c>
      <c r="G52" s="31" t="s">
        <v>33</v>
      </c>
      <c r="H52" s="40">
        <v>44802</v>
      </c>
      <c r="I52" s="40">
        <f>IF(ALL_PROD_RISK3[[#This Row],[MATURITY]]='INPUT_BONDS (2)'!$AM$2,'INPUT_BONDS (2)'!$AN$2,ALL_PROD_RISK3[[#This Row],[MATURITY]])</f>
        <v>46310</v>
      </c>
      <c r="J52" s="32">
        <v>1E-3</v>
      </c>
      <c r="K52" s="36"/>
      <c r="L52" s="31">
        <v>1</v>
      </c>
      <c r="M52" s="31" t="s">
        <v>130</v>
      </c>
      <c r="N52" s="31" t="s">
        <v>159</v>
      </c>
      <c r="O52" s="31" t="s">
        <v>163</v>
      </c>
      <c r="P52" s="31" t="s">
        <v>34</v>
      </c>
      <c r="W52" s="31" t="s">
        <v>35</v>
      </c>
      <c r="X52" s="31">
        <v>1</v>
      </c>
      <c r="Y52" s="31" t="s">
        <v>152</v>
      </c>
      <c r="Z52" s="31" t="s">
        <v>38</v>
      </c>
      <c r="AB52" s="37">
        <f ca="1">(ALL_PROD_RISK6[[#This Row],[MATURITY]]-TODAY())/365</f>
        <v>2.6301369863013697</v>
      </c>
      <c r="AC52" s="38" t="e">
        <f>_xlfn.XLOOKUP(ALL_PROD_RISK6[[#This Row],[Rank]],[1]!RANKtbl[Rank],[1]!RANKtbl[STEPS])</f>
        <v>#REF!</v>
      </c>
      <c r="AD52" s="38">
        <f>IF(ALL_PROD_RISK6[[#This Row],[RATING]]="AAA",-7,)</f>
        <v>-7</v>
      </c>
      <c r="AE52" s="38"/>
      <c r="AF52" s="38"/>
      <c r="AG52" s="38"/>
      <c r="AH52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52" s="39" t="e">
        <f>IF(ALL_PROD_RISK6[[#This Row],[C_INDEX]]&lt;1,"AAA",_xlfn.XLOOKUP(ALL_PROD_RISK6[[#This Row],[C_INDEX]],[1]!CS_RATING[INDEX],[1]!CS_RATING[RATING]))</f>
        <v>#REF!</v>
      </c>
      <c r="AJ52" s="21">
        <v>0</v>
      </c>
    </row>
    <row r="53" spans="1:36" x14ac:dyDescent="0.2">
      <c r="A53" s="31">
        <v>1</v>
      </c>
      <c r="B53" s="31" t="s">
        <v>131</v>
      </c>
      <c r="C53" s="31" t="s">
        <v>132</v>
      </c>
      <c r="D53" s="31" t="s">
        <v>32</v>
      </c>
      <c r="E53" s="31" t="s">
        <v>39</v>
      </c>
      <c r="F53" s="31" t="s">
        <v>238</v>
      </c>
      <c r="G53" s="31" t="s">
        <v>33</v>
      </c>
      <c r="H53" s="40">
        <v>44825</v>
      </c>
      <c r="I53" s="40">
        <f>IF(ALL_PROD_RISK3[[#This Row],[MATURITY]]='INPUT_BONDS (2)'!$AM$2,'INPUT_BONDS (2)'!$AN$2,ALL_PROD_RISK3[[#This Row],[MATURITY]])</f>
        <v>45921</v>
      </c>
      <c r="J53" s="32">
        <v>2.8750000000000001E-2</v>
      </c>
      <c r="K53" s="36"/>
      <c r="L53" s="31">
        <v>1</v>
      </c>
      <c r="M53" s="31" t="s">
        <v>40</v>
      </c>
      <c r="N53" s="31" t="s">
        <v>159</v>
      </c>
      <c r="O53" s="31" t="s">
        <v>160</v>
      </c>
      <c r="P53" s="31" t="s">
        <v>34</v>
      </c>
      <c r="W53" s="31" t="s">
        <v>35</v>
      </c>
      <c r="X53" s="31">
        <v>1</v>
      </c>
      <c r="Y53" s="31" t="s">
        <v>146</v>
      </c>
      <c r="Z53" s="31" t="s">
        <v>38</v>
      </c>
      <c r="AB53" s="37">
        <f ca="1">(ALL_PROD_RISK6[[#This Row],[MATURITY]]-TODAY())/365</f>
        <v>1.5643835616438355</v>
      </c>
      <c r="AC53" s="38" t="e">
        <f>_xlfn.XLOOKUP(ALL_PROD_RISK6[[#This Row],[Rank]],[1]!RANKtbl[Rank],[1]!RANKtbl[STEPS])</f>
        <v>#REF!</v>
      </c>
      <c r="AD53" s="38">
        <f>IF(ALL_PROD_RISK6[[#This Row],[RATING]]="AAA",-7,)</f>
        <v>0</v>
      </c>
      <c r="AE53" s="38"/>
      <c r="AF53" s="38"/>
      <c r="AG53" s="38"/>
      <c r="AH53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53" s="39" t="e">
        <f>IF(ALL_PROD_RISK6[[#This Row],[C_INDEX]]&lt;1,"AAA",_xlfn.XLOOKUP(ALL_PROD_RISK6[[#This Row],[C_INDEX]],[1]!CS_RATING[INDEX],[1]!CS_RATING[RATING]))</f>
        <v>#REF!</v>
      </c>
      <c r="AJ53" s="21">
        <v>0</v>
      </c>
    </row>
    <row r="54" spans="1:36" x14ac:dyDescent="0.2">
      <c r="A54" s="31">
        <v>1</v>
      </c>
      <c r="B54" s="31" t="s">
        <v>135</v>
      </c>
      <c r="C54" s="31" t="s">
        <v>136</v>
      </c>
      <c r="D54" s="31" t="s">
        <v>32</v>
      </c>
      <c r="E54" s="31" t="s">
        <v>133</v>
      </c>
      <c r="F54" s="31" t="s">
        <v>238</v>
      </c>
      <c r="G54" s="31" t="s">
        <v>33</v>
      </c>
      <c r="H54" s="40">
        <v>44819</v>
      </c>
      <c r="I54" s="40">
        <f>IF(ALL_PROD_RISK3[[#This Row],[MATURITY]]='INPUT_BONDS (2)'!$AM$2,'INPUT_BONDS (2)'!$AN$2,ALL_PROD_RISK3[[#This Row],[MATURITY]])</f>
        <v>46557</v>
      </c>
      <c r="J54" s="32">
        <v>6.2500000000000003E-3</v>
      </c>
      <c r="K54" s="36"/>
      <c r="L54" s="31">
        <v>1</v>
      </c>
      <c r="M54" s="31" t="s">
        <v>134</v>
      </c>
      <c r="N54" s="31" t="s">
        <v>159</v>
      </c>
      <c r="O54" s="31" t="s">
        <v>162</v>
      </c>
      <c r="P54" s="31" t="s">
        <v>34</v>
      </c>
      <c r="W54" s="31" t="s">
        <v>35</v>
      </c>
      <c r="X54" s="31">
        <v>1</v>
      </c>
      <c r="Y54" s="31" t="s">
        <v>152</v>
      </c>
      <c r="Z54" s="31" t="s">
        <v>38</v>
      </c>
      <c r="AB54" s="37">
        <f ca="1">(ALL_PROD_RISK6[[#This Row],[MATURITY]]-TODAY())/365</f>
        <v>3.3068493150684932</v>
      </c>
      <c r="AC54" s="38" t="e">
        <f>_xlfn.XLOOKUP(ALL_PROD_RISK6[[#This Row],[Rank]],[1]!RANKtbl[Rank],[1]!RANKtbl[STEPS])</f>
        <v>#REF!</v>
      </c>
      <c r="AD54" s="38">
        <f>IF(ALL_PROD_RISK6[[#This Row],[RATING]]="AAA",-7,)</f>
        <v>-7</v>
      </c>
      <c r="AE54" s="38"/>
      <c r="AF54" s="38"/>
      <c r="AG54" s="38"/>
      <c r="AH54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54" s="39" t="e">
        <f>IF(ALL_PROD_RISK6[[#This Row],[C_INDEX]]&lt;1,"AAA",_xlfn.XLOOKUP(ALL_PROD_RISK6[[#This Row],[C_INDEX]],[1]!CS_RATING[INDEX],[1]!CS_RATING[RATING]))</f>
        <v>#REF!</v>
      </c>
      <c r="AJ54" s="21">
        <v>0</v>
      </c>
    </row>
    <row r="55" spans="1:36" x14ac:dyDescent="0.2">
      <c r="A55" s="31">
        <v>1</v>
      </c>
      <c r="B55" s="31" t="s">
        <v>137</v>
      </c>
      <c r="C55" s="31" t="s">
        <v>138</v>
      </c>
      <c r="D55" s="31" t="s">
        <v>32</v>
      </c>
      <c r="E55" s="31" t="s">
        <v>97</v>
      </c>
      <c r="F55" s="31" t="s">
        <v>238</v>
      </c>
      <c r="G55" s="31" t="s">
        <v>33</v>
      </c>
      <c r="H55" s="40">
        <v>44830</v>
      </c>
      <c r="I55" s="40">
        <f>IF(ALL_PROD_RISK3[[#This Row],[MATURITY]]='INPUT_BONDS (2)'!$AM$2,'INPUT_BONDS (2)'!$AN$2,ALL_PROD_RISK3[[#This Row],[MATURITY]])</f>
        <v>45488</v>
      </c>
      <c r="J55" s="32">
        <v>2.5000000000000001E-3</v>
      </c>
      <c r="K55" s="36"/>
      <c r="L55" s="31">
        <v>1</v>
      </c>
      <c r="M55" s="31" t="s">
        <v>98</v>
      </c>
      <c r="N55" s="31" t="s">
        <v>159</v>
      </c>
      <c r="O55" s="31" t="s">
        <v>161</v>
      </c>
      <c r="P55" s="31" t="s">
        <v>34</v>
      </c>
      <c r="W55" s="31" t="s">
        <v>35</v>
      </c>
      <c r="X55" s="31">
        <v>1</v>
      </c>
      <c r="Y55" s="31" t="s">
        <v>152</v>
      </c>
      <c r="Z55" s="31" t="s">
        <v>38</v>
      </c>
      <c r="AB55" s="37">
        <f ca="1">(ALL_PROD_RISK6[[#This Row],[MATURITY]]-TODAY())/365</f>
        <v>0.37808219178082192</v>
      </c>
      <c r="AC55" s="38" t="e">
        <f>_xlfn.XLOOKUP(ALL_PROD_RISK6[[#This Row],[Rank]],[1]!RANKtbl[Rank],[1]!RANKtbl[STEPS])</f>
        <v>#REF!</v>
      </c>
      <c r="AD55" s="38">
        <f>IF(ALL_PROD_RISK6[[#This Row],[RATING]]="AAA",-7,)</f>
        <v>-7</v>
      </c>
      <c r="AE55" s="38"/>
      <c r="AF55" s="38"/>
      <c r="AG55" s="38"/>
      <c r="AH55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55" s="39" t="e">
        <f>IF(ALL_PROD_RISK6[[#This Row],[C_INDEX]]&lt;1,"AAA",_xlfn.XLOOKUP(ALL_PROD_RISK6[[#This Row],[C_INDEX]],[1]!CS_RATING[INDEX],[1]!CS_RATING[RATING]))</f>
        <v>#REF!</v>
      </c>
      <c r="AJ55" s="21">
        <v>0</v>
      </c>
    </row>
    <row r="56" spans="1:36" x14ac:dyDescent="0.2">
      <c r="A56" s="31">
        <v>1</v>
      </c>
      <c r="B56" s="31" t="s">
        <v>139</v>
      </c>
      <c r="C56" s="31" t="s">
        <v>140</v>
      </c>
      <c r="D56" s="31" t="s">
        <v>32</v>
      </c>
      <c r="E56" s="31" t="s">
        <v>39</v>
      </c>
      <c r="F56" s="31" t="s">
        <v>238</v>
      </c>
      <c r="G56" s="31" t="s">
        <v>33</v>
      </c>
      <c r="H56" s="40">
        <v>44855</v>
      </c>
      <c r="I56" s="40">
        <f>IF(ALL_PROD_RISK3[[#This Row],[MATURITY]]='INPUT_BONDS (2)'!$AM$2,'INPUT_BONDS (2)'!$AN$2,ALL_PROD_RISK3[[#This Row],[MATURITY]])</f>
        <v>46301</v>
      </c>
      <c r="J56" s="32">
        <v>2.1250000000000002E-2</v>
      </c>
      <c r="K56" s="36"/>
      <c r="L56" s="31">
        <v>1</v>
      </c>
      <c r="M56" s="31" t="s">
        <v>40</v>
      </c>
      <c r="N56" s="31" t="s">
        <v>159</v>
      </c>
      <c r="O56" s="31" t="s">
        <v>160</v>
      </c>
      <c r="P56" s="31" t="s">
        <v>34</v>
      </c>
      <c r="W56" s="31" t="s">
        <v>35</v>
      </c>
      <c r="X56" s="31">
        <v>1</v>
      </c>
      <c r="Y56" s="31" t="s">
        <v>146</v>
      </c>
      <c r="Z56" s="31" t="s">
        <v>38</v>
      </c>
      <c r="AB56" s="37">
        <f ca="1">(ALL_PROD_RISK6[[#This Row],[MATURITY]]-TODAY())/365</f>
        <v>2.6054794520547944</v>
      </c>
      <c r="AC56" s="38" t="e">
        <f>_xlfn.XLOOKUP(ALL_PROD_RISK6[[#This Row],[Rank]],[1]!RANKtbl[Rank],[1]!RANKtbl[STEPS])</f>
        <v>#REF!</v>
      </c>
      <c r="AD56" s="38">
        <f>IF(ALL_PROD_RISK6[[#This Row],[RATING]]="AAA",-7,)</f>
        <v>0</v>
      </c>
      <c r="AE56" s="38"/>
      <c r="AF56" s="38"/>
      <c r="AG56" s="38"/>
      <c r="AH56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56" s="39" t="e">
        <f>IF(ALL_PROD_RISK6[[#This Row],[C_INDEX]]&lt;1,"AAA",_xlfn.XLOOKUP(ALL_PROD_RISK6[[#This Row],[C_INDEX]],[1]!CS_RATING[INDEX],[1]!CS_RATING[RATING]))</f>
        <v>#REF!</v>
      </c>
      <c r="AJ56" s="21">
        <v>0</v>
      </c>
    </row>
    <row r="57" spans="1:36" x14ac:dyDescent="0.2">
      <c r="A57" s="31">
        <v>1</v>
      </c>
      <c r="B57" s="31" t="s">
        <v>263</v>
      </c>
      <c r="C57" s="31" t="s">
        <v>264</v>
      </c>
      <c r="D57" s="31" t="s">
        <v>32</v>
      </c>
      <c r="E57" s="31" t="s">
        <v>125</v>
      </c>
      <c r="F57" s="31" t="s">
        <v>238</v>
      </c>
      <c r="G57" s="31" t="s">
        <v>33</v>
      </c>
      <c r="H57" s="40">
        <v>44964</v>
      </c>
      <c r="I57" s="40">
        <f>IF(ALL_PROD_RISK3[[#This Row],[MATURITY]]='INPUT_BONDS (2)'!$AM$2,'INPUT_BONDS (2)'!$AN$2,ALL_PROD_RISK3[[#This Row],[MATURITY]])</f>
        <v>45672</v>
      </c>
      <c r="J57" s="32">
        <v>6.2500000000000003E-3</v>
      </c>
      <c r="K57" s="36"/>
      <c r="L57" s="31">
        <v>1</v>
      </c>
      <c r="M57" s="31" t="s">
        <v>126</v>
      </c>
      <c r="N57" s="31" t="s">
        <v>159</v>
      </c>
      <c r="O57" s="31" t="s">
        <v>161</v>
      </c>
      <c r="P57" s="31" t="s">
        <v>34</v>
      </c>
      <c r="W57" s="31" t="s">
        <v>35</v>
      </c>
      <c r="X57" s="31">
        <v>1</v>
      </c>
      <c r="Y57" s="31" t="s">
        <v>152</v>
      </c>
      <c r="Z57" s="31" t="s">
        <v>38</v>
      </c>
      <c r="AB57" s="37">
        <f ca="1">(ALL_PROD_RISK6[[#This Row],[MATURITY]]-TODAY())/365</f>
        <v>0.88219178082191785</v>
      </c>
      <c r="AC57" s="38" t="e">
        <f>_xlfn.XLOOKUP(ALL_PROD_RISK6[[#This Row],[Rank]],[1]!RANKtbl[Rank],[1]!RANKtbl[STEPS])</f>
        <v>#REF!</v>
      </c>
      <c r="AD57" s="38">
        <f>IF(ALL_PROD_RISK6[[#This Row],[RATING]]="AAA",-7,)</f>
        <v>-7</v>
      </c>
      <c r="AE57" s="38"/>
      <c r="AF57" s="38"/>
      <c r="AG57" s="38"/>
      <c r="AH57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57" s="39" t="e">
        <f>IF(ALL_PROD_RISK6[[#This Row],[C_INDEX]]&lt;1,"AAA",_xlfn.XLOOKUP(ALL_PROD_RISK6[[#This Row],[C_INDEX]],[1]!CS_RATING[INDEX],[1]!CS_RATING[RATING]))</f>
        <v>#REF!</v>
      </c>
      <c r="AJ57" s="21">
        <v>0</v>
      </c>
    </row>
    <row r="58" spans="1:36" x14ac:dyDescent="0.2">
      <c r="A58" s="31">
        <v>1</v>
      </c>
      <c r="B58" s="31" t="s">
        <v>265</v>
      </c>
      <c r="C58" s="31" t="s">
        <v>266</v>
      </c>
      <c r="D58" s="31" t="s">
        <v>32</v>
      </c>
      <c r="E58" s="31" t="s">
        <v>39</v>
      </c>
      <c r="F58" s="31" t="s">
        <v>238</v>
      </c>
      <c r="G58" s="31" t="s">
        <v>33</v>
      </c>
      <c r="H58" s="40">
        <v>44992</v>
      </c>
      <c r="I58" s="40">
        <f>IF(ALL_PROD_RISK3[[#This Row],[MATURITY]]='INPUT_BONDS (2)'!$AM$2,'INPUT_BONDS (2)'!$AN$2,ALL_PROD_RISK3[[#This Row],[MATURITY]])</f>
        <v>45743</v>
      </c>
      <c r="J58" s="32">
        <v>3.7499999999999999E-2</v>
      </c>
      <c r="K58" s="36"/>
      <c r="L58" s="31">
        <v>1</v>
      </c>
      <c r="M58" s="31" t="s">
        <v>40</v>
      </c>
      <c r="N58" s="31" t="s">
        <v>159</v>
      </c>
      <c r="O58" s="31" t="s">
        <v>160</v>
      </c>
      <c r="P58" s="31" t="s">
        <v>34</v>
      </c>
      <c r="W58" s="31" t="s">
        <v>35</v>
      </c>
      <c r="X58" s="31">
        <v>1</v>
      </c>
      <c r="Y58" s="31" t="s">
        <v>146</v>
      </c>
      <c r="Z58" s="31" t="s">
        <v>38</v>
      </c>
      <c r="AB58" s="37">
        <f ca="1">(ALL_PROD_RISK6[[#This Row],[MATURITY]]-TODAY())/365</f>
        <v>1.0767123287671232</v>
      </c>
      <c r="AC58" s="38" t="e">
        <f>_xlfn.XLOOKUP(ALL_PROD_RISK6[[#This Row],[Rank]],[1]!RANKtbl[Rank],[1]!RANKtbl[STEPS])</f>
        <v>#REF!</v>
      </c>
      <c r="AD58" s="38">
        <f>IF(ALL_PROD_RISK6[[#This Row],[RATING]]="AAA",-7,)</f>
        <v>0</v>
      </c>
      <c r="AE58" s="38"/>
      <c r="AF58" s="38"/>
      <c r="AG58" s="38"/>
      <c r="AH58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58" s="39" t="e">
        <f>IF(ALL_PROD_RISK6[[#This Row],[C_INDEX]]&lt;1,"AAA",_xlfn.XLOOKUP(ALL_PROD_RISK6[[#This Row],[C_INDEX]],[1]!CS_RATING[INDEX],[1]!CS_RATING[RATING]))</f>
        <v>#REF!</v>
      </c>
      <c r="AJ58" s="21">
        <v>0</v>
      </c>
    </row>
    <row r="59" spans="1:36" x14ac:dyDescent="0.2">
      <c r="A59" s="31">
        <v>1</v>
      </c>
      <c r="B59" s="31" t="s">
        <v>267</v>
      </c>
      <c r="C59" s="31" t="s">
        <v>268</v>
      </c>
      <c r="D59" s="31" t="s">
        <v>32</v>
      </c>
      <c r="E59" s="31" t="s">
        <v>42</v>
      </c>
      <c r="F59" s="31" t="s">
        <v>238</v>
      </c>
      <c r="G59" s="31" t="s">
        <v>33</v>
      </c>
      <c r="H59" s="40">
        <v>45065</v>
      </c>
      <c r="I59" s="40">
        <f>IF(ALL_PROD_RISK3[[#This Row],[MATURITY]]='INPUT_BONDS (2)'!$AM$2,'INPUT_BONDS (2)'!$AN$2,ALL_PROD_RISK3[[#This Row],[MATURITY]])</f>
        <v>46161</v>
      </c>
      <c r="J59" s="32">
        <v>3.7999999999999999E-2</v>
      </c>
      <c r="K59" s="36"/>
      <c r="L59" s="31">
        <v>1</v>
      </c>
      <c r="M59" s="31" t="s">
        <v>43</v>
      </c>
      <c r="N59" s="31" t="s">
        <v>159</v>
      </c>
      <c r="O59" s="31" t="s">
        <v>160</v>
      </c>
      <c r="P59" s="31" t="s">
        <v>34</v>
      </c>
      <c r="W59" s="31" t="s">
        <v>35</v>
      </c>
      <c r="X59" s="31">
        <v>1</v>
      </c>
      <c r="Y59" s="31" t="s">
        <v>150</v>
      </c>
      <c r="Z59" s="31" t="s">
        <v>38</v>
      </c>
      <c r="AB59" s="37">
        <f ca="1">(ALL_PROD_RISK6[[#This Row],[MATURITY]]-TODAY())/365</f>
        <v>2.2219178082191782</v>
      </c>
      <c r="AC59" s="38" t="e">
        <f>_xlfn.XLOOKUP(ALL_PROD_RISK6[[#This Row],[Rank]],[1]!RANKtbl[Rank],[1]!RANKtbl[STEPS])</f>
        <v>#REF!</v>
      </c>
      <c r="AD59" s="38">
        <f>IF(ALL_PROD_RISK6[[#This Row],[RATING]]="AAA",-7,)</f>
        <v>0</v>
      </c>
      <c r="AE59" s="38"/>
      <c r="AF59" s="38"/>
      <c r="AG59" s="38"/>
      <c r="AH59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59" s="39" t="e">
        <f>IF(ALL_PROD_RISK6[[#This Row],[C_INDEX]]&lt;1,"AAA",_xlfn.XLOOKUP(ALL_PROD_RISK6[[#This Row],[C_INDEX]],[1]!CS_RATING[INDEX],[1]!CS_RATING[RATING]))</f>
        <v>#REF!</v>
      </c>
      <c r="AJ59" s="21">
        <v>0</v>
      </c>
    </row>
    <row r="60" spans="1:36" x14ac:dyDescent="0.2">
      <c r="A60" s="31">
        <v>1</v>
      </c>
      <c r="B60" s="31" t="s">
        <v>269</v>
      </c>
      <c r="C60" s="31" t="s">
        <v>270</v>
      </c>
      <c r="D60" s="31" t="s">
        <v>32</v>
      </c>
      <c r="E60" s="31" t="s">
        <v>49</v>
      </c>
      <c r="F60" s="31" t="s">
        <v>238</v>
      </c>
      <c r="G60" s="31" t="s">
        <v>33</v>
      </c>
      <c r="H60" s="40">
        <v>45071</v>
      </c>
      <c r="I60" s="40">
        <f>IF(ALL_PROD_RISK3[[#This Row],[MATURITY]]='INPUT_BONDS (2)'!$AM$2,'INPUT_BONDS (2)'!$AN$2,ALL_PROD_RISK3[[#This Row],[MATURITY]])</f>
        <v>46677</v>
      </c>
      <c r="J60" s="32">
        <v>3.5000000000000003E-2</v>
      </c>
      <c r="K60" s="36"/>
      <c r="L60" s="31">
        <v>1</v>
      </c>
      <c r="M60" s="31" t="s">
        <v>50</v>
      </c>
      <c r="N60" s="31" t="s">
        <v>159</v>
      </c>
      <c r="O60" s="31" t="s">
        <v>160</v>
      </c>
      <c r="P60" s="31" t="s">
        <v>34</v>
      </c>
      <c r="W60" s="31" t="s">
        <v>35</v>
      </c>
      <c r="X60" s="31">
        <v>1</v>
      </c>
      <c r="Y60" s="31" t="s">
        <v>146</v>
      </c>
      <c r="Z60" s="31" t="s">
        <v>38</v>
      </c>
      <c r="AB60" s="37">
        <f ca="1">(ALL_PROD_RISK6[[#This Row],[MATURITY]]-TODAY())/365</f>
        <v>3.6356164383561644</v>
      </c>
      <c r="AC60" s="38" t="e">
        <f>_xlfn.XLOOKUP(ALL_PROD_RISK6[[#This Row],[Rank]],[1]!RANKtbl[Rank],[1]!RANKtbl[STEPS])</f>
        <v>#REF!</v>
      </c>
      <c r="AD60" s="38">
        <f>IF(ALL_PROD_RISK6[[#This Row],[RATING]]="AAA",-7,)</f>
        <v>0</v>
      </c>
      <c r="AE60" s="38"/>
      <c r="AF60" s="38"/>
      <c r="AG60" s="38"/>
      <c r="AH60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60" s="39" t="e">
        <f>IF(ALL_PROD_RISK6[[#This Row],[C_INDEX]]&lt;1,"AAA",_xlfn.XLOOKUP(ALL_PROD_RISK6[[#This Row],[C_INDEX]],[1]!CS_RATING[INDEX],[1]!CS_RATING[RATING]))</f>
        <v>#REF!</v>
      </c>
      <c r="AJ60" s="21">
        <v>0</v>
      </c>
    </row>
    <row r="61" spans="1:36" x14ac:dyDescent="0.2">
      <c r="A61" s="31">
        <v>1</v>
      </c>
      <c r="B61" s="31" t="s">
        <v>271</v>
      </c>
      <c r="C61" s="31" t="s">
        <v>272</v>
      </c>
      <c r="D61" s="31" t="s">
        <v>32</v>
      </c>
      <c r="E61" s="31" t="s">
        <v>78</v>
      </c>
      <c r="F61" s="31" t="s">
        <v>238</v>
      </c>
      <c r="G61" s="31" t="s">
        <v>33</v>
      </c>
      <c r="H61" s="40">
        <v>45055</v>
      </c>
      <c r="I61" s="40">
        <f>IF(ALL_PROD_RISK3[[#This Row],[MATURITY]]='INPUT_BONDS (2)'!$AM$2,'INPUT_BONDS (2)'!$AN$2,ALL_PROD_RISK3[[#This Row],[MATURITY]])</f>
        <v>45820</v>
      </c>
      <c r="J61" s="32">
        <v>3.125E-2</v>
      </c>
      <c r="K61" s="36"/>
      <c r="L61" s="31">
        <v>1</v>
      </c>
      <c r="M61" s="31" t="s">
        <v>79</v>
      </c>
      <c r="N61" s="31" t="s">
        <v>159</v>
      </c>
      <c r="O61" s="31" t="s">
        <v>160</v>
      </c>
      <c r="P61" s="31" t="s">
        <v>34</v>
      </c>
      <c r="W61" s="31" t="s">
        <v>35</v>
      </c>
      <c r="X61" s="31">
        <v>1</v>
      </c>
      <c r="Y61" s="31" t="s">
        <v>150</v>
      </c>
      <c r="Z61" s="31" t="s">
        <v>38</v>
      </c>
      <c r="AB61" s="37">
        <f ca="1">(ALL_PROD_RISK6[[#This Row],[MATURITY]]-TODAY())/365</f>
        <v>1.2876712328767124</v>
      </c>
      <c r="AC61" s="38" t="e">
        <f>_xlfn.XLOOKUP(ALL_PROD_RISK6[[#This Row],[Rank]],[1]!RANKtbl[Rank],[1]!RANKtbl[STEPS])</f>
        <v>#REF!</v>
      </c>
      <c r="AD61" s="38">
        <f>IF(ALL_PROD_RISK6[[#This Row],[RATING]]="AAA",-7,)</f>
        <v>0</v>
      </c>
      <c r="AE61" s="38"/>
      <c r="AF61" s="38"/>
      <c r="AG61" s="38"/>
      <c r="AH61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61" s="39" t="e">
        <f>IF(ALL_PROD_RISK6[[#This Row],[C_INDEX]]&lt;1,"AAA",_xlfn.XLOOKUP(ALL_PROD_RISK6[[#This Row],[C_INDEX]],[1]!CS_RATING[INDEX],[1]!CS_RATING[RATING]))</f>
        <v>#REF!</v>
      </c>
      <c r="AJ61" s="21">
        <v>0</v>
      </c>
    </row>
    <row r="62" spans="1:36" x14ac:dyDescent="0.2">
      <c r="A62" s="31">
        <v>1</v>
      </c>
      <c r="B62" s="31">
        <v>2017009</v>
      </c>
      <c r="C62" s="31" t="s">
        <v>273</v>
      </c>
      <c r="D62" s="31" t="s">
        <v>32</v>
      </c>
      <c r="E62" s="31" t="s">
        <v>39</v>
      </c>
      <c r="F62" s="31" t="s">
        <v>274</v>
      </c>
      <c r="G62" s="31" t="s">
        <v>33</v>
      </c>
      <c r="H62" s="40">
        <v>43048</v>
      </c>
      <c r="I62" s="40">
        <f>IF(ALL_PROD_RISK3[[#This Row],[MATURITY]]='INPUT_BONDS (2)'!$AM$2,'INPUT_BONDS (2)'!$AN$2,ALL_PROD_RISK3[[#This Row],[MATURITY]])</f>
        <v>45291</v>
      </c>
      <c r="J62" s="32">
        <v>2.0000000000000001E-4</v>
      </c>
      <c r="K62" s="36"/>
      <c r="L62" s="31">
        <v>1</v>
      </c>
      <c r="M62" s="31" t="s">
        <v>40</v>
      </c>
      <c r="N62" s="31" t="s">
        <v>159</v>
      </c>
      <c r="O62" s="31" t="s">
        <v>160</v>
      </c>
      <c r="P62" s="31" t="s">
        <v>34</v>
      </c>
      <c r="W62" s="31" t="s">
        <v>35</v>
      </c>
      <c r="X62" s="31">
        <v>1</v>
      </c>
      <c r="Y62" s="31" t="s">
        <v>146</v>
      </c>
      <c r="Z62" s="31" t="s">
        <v>38</v>
      </c>
      <c r="AB62" s="37">
        <f ca="1">(ALL_PROD_RISK6[[#This Row],[MATURITY]]-TODAY())/365</f>
        <v>-0.16164383561643836</v>
      </c>
      <c r="AC62" s="38" t="e">
        <f>_xlfn.XLOOKUP(ALL_PROD_RISK6[[#This Row],[Rank]],[1]!RANKtbl[Rank],[1]!RANKtbl[STEPS])</f>
        <v>#REF!</v>
      </c>
      <c r="AD62" s="38">
        <f>IF(ALL_PROD_RISK6[[#This Row],[RATING]]="AAA",-7,)</f>
        <v>0</v>
      </c>
      <c r="AE62" s="38"/>
      <c r="AF62" s="38"/>
      <c r="AG62" s="38"/>
      <c r="AH62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62" s="39" t="e">
        <f>IF(ALL_PROD_RISK6[[#This Row],[C_INDEX]]&lt;1,"AAA",_xlfn.XLOOKUP(ALL_PROD_RISK6[[#This Row],[C_INDEX]],[1]!CS_RATING[INDEX],[1]!CS_RATING[RATING]))</f>
        <v>#REF!</v>
      </c>
      <c r="AJ62" s="21">
        <v>0</v>
      </c>
    </row>
    <row r="63" spans="1:36" x14ac:dyDescent="0.2">
      <c r="A63" s="31">
        <v>1</v>
      </c>
      <c r="B63" s="31">
        <v>2023016</v>
      </c>
      <c r="C63" s="31" t="s">
        <v>275</v>
      </c>
      <c r="D63" s="31" t="s">
        <v>32</v>
      </c>
      <c r="E63" s="31" t="s">
        <v>39</v>
      </c>
      <c r="F63" s="31" t="s">
        <v>274</v>
      </c>
      <c r="G63" s="31" t="s">
        <v>33</v>
      </c>
      <c r="H63" s="40">
        <v>45187</v>
      </c>
      <c r="I63" s="40">
        <f>IF(ALL_PROD_RISK3[[#This Row],[MATURITY]]='INPUT_BONDS (2)'!$AM$2,'INPUT_BONDS (2)'!$AN$2,ALL_PROD_RISK3[[#This Row],[MATURITY]])</f>
        <v>45554</v>
      </c>
      <c r="J63" s="32">
        <v>4.1000000000000002E-2</v>
      </c>
      <c r="K63" s="36"/>
      <c r="L63" s="31">
        <v>1</v>
      </c>
      <c r="M63" s="31" t="s">
        <v>40</v>
      </c>
      <c r="N63" s="31" t="s">
        <v>159</v>
      </c>
      <c r="O63" s="31" t="s">
        <v>160</v>
      </c>
      <c r="P63" s="31" t="s">
        <v>34</v>
      </c>
      <c r="W63" s="31" t="s">
        <v>35</v>
      </c>
      <c r="X63" s="31">
        <v>1</v>
      </c>
      <c r="Y63" s="31" t="s">
        <v>146</v>
      </c>
      <c r="Z63" s="31" t="s">
        <v>38</v>
      </c>
      <c r="AB63" s="37">
        <f ca="1">(ALL_PROD_RISK6[[#This Row],[MATURITY]]-TODAY())/365</f>
        <v>0.55890410958904113</v>
      </c>
      <c r="AC63" s="38" t="e">
        <f>_xlfn.XLOOKUP(ALL_PROD_RISK6[[#This Row],[Rank]],[1]!RANKtbl[Rank],[1]!RANKtbl[STEPS])</f>
        <v>#REF!</v>
      </c>
      <c r="AD63" s="38">
        <f>IF(ALL_PROD_RISK6[[#This Row],[RATING]]="AAA",-7,)</f>
        <v>0</v>
      </c>
      <c r="AE63" s="38"/>
      <c r="AF63" s="38"/>
      <c r="AG63" s="38"/>
      <c r="AH63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63" s="39" t="e">
        <f>IF(ALL_PROD_RISK6[[#This Row],[C_INDEX]]&lt;1,"AAA",_xlfn.XLOOKUP(ALL_PROD_RISK6[[#This Row],[C_INDEX]],[1]!CS_RATING[INDEX],[1]!CS_RATING[RATING]))</f>
        <v>#REF!</v>
      </c>
      <c r="AJ63" s="21">
        <v>0</v>
      </c>
    </row>
    <row r="64" spans="1:36" x14ac:dyDescent="0.2">
      <c r="A64" s="31">
        <v>1</v>
      </c>
      <c r="B64" s="31">
        <v>2023014</v>
      </c>
      <c r="C64" s="31" t="s">
        <v>276</v>
      </c>
      <c r="D64" s="31" t="s">
        <v>32</v>
      </c>
      <c r="E64" s="31" t="s">
        <v>36</v>
      </c>
      <c r="F64" s="31" t="s">
        <v>274</v>
      </c>
      <c r="G64" s="31" t="s">
        <v>33</v>
      </c>
      <c r="H64" s="40">
        <v>45079</v>
      </c>
      <c r="I64" s="40">
        <f>IF(ALL_PROD_RISK3[[#This Row],[MATURITY]]='INPUT_BONDS (2)'!$AM$2,'INPUT_BONDS (2)'!$AN$2,ALL_PROD_RISK3[[#This Row],[MATURITY]])</f>
        <v>45275</v>
      </c>
      <c r="J64" s="32">
        <v>3.3000000000000002E-2</v>
      </c>
      <c r="K64" s="36"/>
      <c r="L64" s="31">
        <v>1</v>
      </c>
      <c r="M64" s="31" t="s">
        <v>37</v>
      </c>
      <c r="N64" s="31" t="s">
        <v>159</v>
      </c>
      <c r="O64" s="31" t="s">
        <v>160</v>
      </c>
      <c r="P64" s="31" t="s">
        <v>34</v>
      </c>
      <c r="W64" s="31" t="s">
        <v>35</v>
      </c>
      <c r="X64" s="31">
        <v>1</v>
      </c>
      <c r="Y64" s="31" t="s">
        <v>145</v>
      </c>
      <c r="Z64" s="31" t="s">
        <v>38</v>
      </c>
      <c r="AB64" s="37">
        <f ca="1">(ALL_PROD_RISK6[[#This Row],[MATURITY]]-TODAY())/365</f>
        <v>-0.20547945205479451</v>
      </c>
      <c r="AC64" s="38" t="e">
        <f>_xlfn.XLOOKUP(ALL_PROD_RISK6[[#This Row],[Rank]],[1]!RANKtbl[Rank],[1]!RANKtbl[STEPS])</f>
        <v>#REF!</v>
      </c>
      <c r="AD64" s="38">
        <f>IF(ALL_PROD_RISK6[[#This Row],[RATING]]="AAA",-7,)</f>
        <v>0</v>
      </c>
      <c r="AE64" s="38"/>
      <c r="AF64" s="38"/>
      <c r="AG64" s="38"/>
      <c r="AH64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64" s="39" t="e">
        <f>IF(ALL_PROD_RISK6[[#This Row],[C_INDEX]]&lt;1,"AAA",_xlfn.XLOOKUP(ALL_PROD_RISK6[[#This Row],[C_INDEX]],[1]!CS_RATING[INDEX],[1]!CS_RATING[RATING]))</f>
        <v>#REF!</v>
      </c>
      <c r="AJ64" s="21">
        <v>0</v>
      </c>
    </row>
    <row r="65" spans="1:36" x14ac:dyDescent="0.2">
      <c r="A65" s="31">
        <v>1</v>
      </c>
      <c r="B65" s="31">
        <v>2023009</v>
      </c>
      <c r="C65" s="31" t="s">
        <v>277</v>
      </c>
      <c r="D65" s="31" t="s">
        <v>32</v>
      </c>
      <c r="E65" s="31" t="s">
        <v>44</v>
      </c>
      <c r="F65" s="31" t="s">
        <v>274</v>
      </c>
      <c r="G65" s="31" t="s">
        <v>33</v>
      </c>
      <c r="H65" s="40">
        <v>45063</v>
      </c>
      <c r="I65" s="40">
        <f>IF(ALL_PROD_RISK3[[#This Row],[MATURITY]]='INPUT_BONDS (2)'!$AM$2,'INPUT_BONDS (2)'!$AN$2,ALL_PROD_RISK3[[#This Row],[MATURITY]])</f>
        <v>45247</v>
      </c>
      <c r="J65" s="32">
        <v>3.3000000000000002E-2</v>
      </c>
      <c r="K65" s="36"/>
      <c r="L65" s="31">
        <v>1</v>
      </c>
      <c r="M65" s="31" t="s">
        <v>45</v>
      </c>
      <c r="N65" s="31" t="s">
        <v>159</v>
      </c>
      <c r="O65" s="31" t="s">
        <v>160</v>
      </c>
      <c r="P65" s="31" t="s">
        <v>34</v>
      </c>
      <c r="W65" s="31" t="s">
        <v>35</v>
      </c>
      <c r="X65" s="31">
        <v>1</v>
      </c>
      <c r="Y65" s="31" t="s">
        <v>148</v>
      </c>
      <c r="Z65" s="31" t="s">
        <v>38</v>
      </c>
      <c r="AB65" s="37">
        <f ca="1">(ALL_PROD_RISK6[[#This Row],[MATURITY]]-TODAY())/365</f>
        <v>-0.28219178082191781</v>
      </c>
      <c r="AC65" s="38" t="e">
        <f>_xlfn.XLOOKUP(ALL_PROD_RISK6[[#This Row],[Rank]],[1]!RANKtbl[Rank],[1]!RANKtbl[STEPS])</f>
        <v>#REF!</v>
      </c>
      <c r="AD65" s="38">
        <f>IF(ALL_PROD_RISK6[[#This Row],[RATING]]="AAA",-7,)</f>
        <v>0</v>
      </c>
      <c r="AE65" s="38"/>
      <c r="AF65" s="38"/>
      <c r="AG65" s="38"/>
      <c r="AH65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65" s="39" t="e">
        <f>IF(ALL_PROD_RISK6[[#This Row],[C_INDEX]]&lt;1,"AAA",_xlfn.XLOOKUP(ALL_PROD_RISK6[[#This Row],[C_INDEX]],[1]!CS_RATING[INDEX],[1]!CS_RATING[RATING]))</f>
        <v>#REF!</v>
      </c>
      <c r="AJ65" s="21">
        <v>0</v>
      </c>
    </row>
    <row r="66" spans="1:36" x14ac:dyDescent="0.2">
      <c r="A66" s="31">
        <v>1</v>
      </c>
      <c r="B66" s="31">
        <v>2023010</v>
      </c>
      <c r="C66" s="31" t="s">
        <v>278</v>
      </c>
      <c r="D66" s="31" t="s">
        <v>32</v>
      </c>
      <c r="E66" s="31" t="s">
        <v>42</v>
      </c>
      <c r="F66" s="31" t="s">
        <v>274</v>
      </c>
      <c r="G66" s="31" t="s">
        <v>33</v>
      </c>
      <c r="H66" s="40">
        <v>45065</v>
      </c>
      <c r="I66" s="40">
        <f>IF(ALL_PROD_RISK3[[#This Row],[MATURITY]]='INPUT_BONDS (2)'!$AM$2,'INPUT_BONDS (2)'!$AN$2,ALL_PROD_RISK3[[#This Row],[MATURITY]])</f>
        <v>45250</v>
      </c>
      <c r="J66" s="32">
        <v>2.9499999999999998E-2</v>
      </c>
      <c r="K66" s="36"/>
      <c r="L66" s="31">
        <v>1</v>
      </c>
      <c r="M66" s="31" t="s">
        <v>43</v>
      </c>
      <c r="N66" s="31" t="s">
        <v>159</v>
      </c>
      <c r="O66" s="31" t="s">
        <v>160</v>
      </c>
      <c r="P66" s="31" t="s">
        <v>34</v>
      </c>
      <c r="W66" s="31" t="s">
        <v>35</v>
      </c>
      <c r="X66" s="31">
        <v>1</v>
      </c>
      <c r="Y66" s="31" t="s">
        <v>150</v>
      </c>
      <c r="Z66" s="31" t="s">
        <v>38</v>
      </c>
      <c r="AB66" s="37">
        <f ca="1">(ALL_PROD_RISK6[[#This Row],[MATURITY]]-TODAY())/365</f>
        <v>-0.27397260273972601</v>
      </c>
      <c r="AC66" s="38" t="e">
        <f>_xlfn.XLOOKUP(ALL_PROD_RISK6[[#This Row],[Rank]],[1]!RANKtbl[Rank],[1]!RANKtbl[STEPS])</f>
        <v>#REF!</v>
      </c>
      <c r="AD66" s="38">
        <f>IF(ALL_PROD_RISK6[[#This Row],[RATING]]="AAA",-7,)</f>
        <v>0</v>
      </c>
      <c r="AE66" s="38"/>
      <c r="AF66" s="38"/>
      <c r="AG66" s="38"/>
      <c r="AH66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66" s="39" t="e">
        <f>IF(ALL_PROD_RISK6[[#This Row],[C_INDEX]]&lt;1,"AAA",_xlfn.XLOOKUP(ALL_PROD_RISK6[[#This Row],[C_INDEX]],[1]!CS_RATING[INDEX],[1]!CS_RATING[RATING]))</f>
        <v>#REF!</v>
      </c>
      <c r="AJ66" s="21">
        <v>0</v>
      </c>
    </row>
    <row r="67" spans="1:36" x14ac:dyDescent="0.2">
      <c r="A67" s="31">
        <v>1</v>
      </c>
      <c r="B67" s="31">
        <v>2023004</v>
      </c>
      <c r="C67" s="31" t="s">
        <v>279</v>
      </c>
      <c r="D67" s="31" t="s">
        <v>32</v>
      </c>
      <c r="E67" s="31" t="s">
        <v>141</v>
      </c>
      <c r="F67" s="31" t="s">
        <v>274</v>
      </c>
      <c r="G67" s="31" t="s">
        <v>33</v>
      </c>
      <c r="H67" s="40">
        <v>45019</v>
      </c>
      <c r="I67" s="40">
        <f>IF(ALL_PROD_RISK3[[#This Row],[MATURITY]]='INPUT_BONDS (2)'!$AM$2,'INPUT_BONDS (2)'!$AN$2,ALL_PROD_RISK3[[#This Row],[MATURITY]])</f>
        <v>45384</v>
      </c>
      <c r="J67" s="32">
        <v>3.15E-2</v>
      </c>
      <c r="K67" s="36"/>
      <c r="L67" s="31">
        <v>1</v>
      </c>
      <c r="M67" s="31" t="s">
        <v>141</v>
      </c>
      <c r="N67" s="31" t="s">
        <v>159</v>
      </c>
      <c r="O67" s="31" t="s">
        <v>160</v>
      </c>
      <c r="P67" s="31" t="s">
        <v>34</v>
      </c>
      <c r="W67" s="31" t="s">
        <v>35</v>
      </c>
      <c r="X67" s="31">
        <v>1</v>
      </c>
      <c r="Y67" s="31" t="s">
        <v>145</v>
      </c>
      <c r="Z67" s="31" t="s">
        <v>38</v>
      </c>
      <c r="AB67" s="37">
        <f ca="1">(ALL_PROD_RISK6[[#This Row],[MATURITY]]-TODAY())/365</f>
        <v>9.3150684931506855E-2</v>
      </c>
      <c r="AC67" s="38" t="e">
        <f>_xlfn.XLOOKUP(ALL_PROD_RISK6[[#This Row],[Rank]],[1]!RANKtbl[Rank],[1]!RANKtbl[STEPS])</f>
        <v>#REF!</v>
      </c>
      <c r="AD67" s="38">
        <f>IF(ALL_PROD_RISK6[[#This Row],[RATING]]="AAA",-7,)</f>
        <v>0</v>
      </c>
      <c r="AE67" s="38"/>
      <c r="AF67" s="38"/>
      <c r="AG67" s="38"/>
      <c r="AH67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67" s="39" t="e">
        <f>IF(ALL_PROD_RISK6[[#This Row],[C_INDEX]]&lt;1,"AAA",_xlfn.XLOOKUP(ALL_PROD_RISK6[[#This Row],[C_INDEX]],[1]!CS_RATING[INDEX],[1]!CS_RATING[RATING]))</f>
        <v>#REF!</v>
      </c>
      <c r="AJ67" s="21">
        <v>0</v>
      </c>
    </row>
    <row r="68" spans="1:36" x14ac:dyDescent="0.2">
      <c r="A68" s="31">
        <v>1</v>
      </c>
      <c r="B68" s="31">
        <v>2023005</v>
      </c>
      <c r="C68" s="31" t="s">
        <v>279</v>
      </c>
      <c r="D68" s="31" t="s">
        <v>32</v>
      </c>
      <c r="E68" s="31" t="s">
        <v>68</v>
      </c>
      <c r="F68" s="31" t="s">
        <v>274</v>
      </c>
      <c r="G68" s="31" t="s">
        <v>33</v>
      </c>
      <c r="H68" s="40">
        <v>45028</v>
      </c>
      <c r="I68" s="40">
        <f>IF(ALL_PROD_RISK3[[#This Row],[MATURITY]]='INPUT_BONDS (2)'!$AM$2,'INPUT_BONDS (2)'!$AN$2,ALL_PROD_RISK3[[#This Row],[MATURITY]])</f>
        <v>45394</v>
      </c>
      <c r="J68" s="32">
        <v>3.0800000000000001E-2</v>
      </c>
      <c r="K68" s="36"/>
      <c r="L68" s="31">
        <v>1</v>
      </c>
      <c r="M68" s="31" t="s">
        <v>69</v>
      </c>
      <c r="N68" s="31" t="s">
        <v>159</v>
      </c>
      <c r="O68" s="31" t="s">
        <v>160</v>
      </c>
      <c r="P68" s="31" t="s">
        <v>34</v>
      </c>
      <c r="W68" s="31" t="s">
        <v>35</v>
      </c>
      <c r="X68" s="31">
        <v>1</v>
      </c>
      <c r="Y68" s="31" t="s">
        <v>149</v>
      </c>
      <c r="Z68" s="31" t="s">
        <v>38</v>
      </c>
      <c r="AB68" s="37">
        <f ca="1">(ALL_PROD_RISK6[[#This Row],[MATURITY]]-TODAY())/365</f>
        <v>0.12054794520547946</v>
      </c>
      <c r="AC68" s="38" t="e">
        <f>_xlfn.XLOOKUP(ALL_PROD_RISK6[[#This Row],[Rank]],[1]!RANKtbl[Rank],[1]!RANKtbl[STEPS])</f>
        <v>#REF!</v>
      </c>
      <c r="AD68" s="38">
        <f>IF(ALL_PROD_RISK6[[#This Row],[RATING]]="AAA",-7,)</f>
        <v>0</v>
      </c>
      <c r="AE68" s="38"/>
      <c r="AF68" s="38"/>
      <c r="AG68" s="38"/>
      <c r="AH68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68" s="39" t="e">
        <f>IF(ALL_PROD_RISK6[[#This Row],[C_INDEX]]&lt;1,"AAA",_xlfn.XLOOKUP(ALL_PROD_RISK6[[#This Row],[C_INDEX]],[1]!CS_RATING[INDEX],[1]!CS_RATING[RATING]))</f>
        <v>#REF!</v>
      </c>
      <c r="AJ68" s="21">
        <v>0</v>
      </c>
    </row>
    <row r="69" spans="1:36" x14ac:dyDescent="0.2">
      <c r="A69" s="31">
        <v>1</v>
      </c>
      <c r="B69" s="31">
        <v>2023011</v>
      </c>
      <c r="C69" s="31" t="s">
        <v>280</v>
      </c>
      <c r="D69" s="31" t="s">
        <v>32</v>
      </c>
      <c r="E69" s="31" t="s">
        <v>49</v>
      </c>
      <c r="F69" s="31" t="s">
        <v>274</v>
      </c>
      <c r="G69" s="31" t="s">
        <v>33</v>
      </c>
      <c r="H69" s="40">
        <v>45071</v>
      </c>
      <c r="I69" s="40">
        <f>IF(ALL_PROD_RISK3[[#This Row],[MATURITY]]='INPUT_BONDS (2)'!$AM$2,'INPUT_BONDS (2)'!$AN$2,ALL_PROD_RISK3[[#This Row],[MATURITY]])</f>
        <v>45259</v>
      </c>
      <c r="J69" s="32">
        <v>2.6499999999999999E-2</v>
      </c>
      <c r="K69" s="36"/>
      <c r="L69" s="31">
        <v>1</v>
      </c>
      <c r="M69" s="31" t="s">
        <v>50</v>
      </c>
      <c r="N69" s="31" t="s">
        <v>159</v>
      </c>
      <c r="O69" s="31" t="s">
        <v>160</v>
      </c>
      <c r="P69" s="31" t="s">
        <v>34</v>
      </c>
      <c r="W69" s="31" t="s">
        <v>35</v>
      </c>
      <c r="X69" s="31">
        <v>1</v>
      </c>
      <c r="Y69" s="31" t="s">
        <v>146</v>
      </c>
      <c r="Z69" s="31" t="s">
        <v>38</v>
      </c>
      <c r="AB69" s="37">
        <f ca="1">(ALL_PROD_RISK6[[#This Row],[MATURITY]]-TODAY())/365</f>
        <v>-0.24931506849315069</v>
      </c>
      <c r="AC69" s="38" t="e">
        <f>_xlfn.XLOOKUP(ALL_PROD_RISK6[[#This Row],[Rank]],[1]!RANKtbl[Rank],[1]!RANKtbl[STEPS])</f>
        <v>#REF!</v>
      </c>
      <c r="AD69" s="38">
        <f>IF(ALL_PROD_RISK6[[#This Row],[RATING]]="AAA",-7,)</f>
        <v>0</v>
      </c>
      <c r="AE69" s="38"/>
      <c r="AF69" s="38"/>
      <c r="AG69" s="38"/>
      <c r="AH69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69" s="39" t="e">
        <f>IF(ALL_PROD_RISK6[[#This Row],[C_INDEX]]&lt;1,"AAA",_xlfn.XLOOKUP(ALL_PROD_RISK6[[#This Row],[C_INDEX]],[1]!CS_RATING[INDEX],[1]!CS_RATING[RATING]))</f>
        <v>#REF!</v>
      </c>
      <c r="AJ69" s="21">
        <v>0</v>
      </c>
    </row>
    <row r="70" spans="1:36" x14ac:dyDescent="0.2">
      <c r="A70" s="31">
        <v>1</v>
      </c>
      <c r="B70" s="31">
        <v>2023012</v>
      </c>
      <c r="C70" s="31" t="s">
        <v>281</v>
      </c>
      <c r="D70" s="31" t="s">
        <v>32</v>
      </c>
      <c r="E70" s="31" t="s">
        <v>39</v>
      </c>
      <c r="F70" s="31" t="s">
        <v>274</v>
      </c>
      <c r="G70" s="31" t="s">
        <v>33</v>
      </c>
      <c r="H70" s="40">
        <v>45071</v>
      </c>
      <c r="I70" s="40">
        <f>IF(ALL_PROD_RISK3[[#This Row],[MATURITY]]='INPUT_BONDS (2)'!$AM$2,'INPUT_BONDS (2)'!$AN$2,ALL_PROD_RISK3[[#This Row],[MATURITY]])</f>
        <v>45257</v>
      </c>
      <c r="J70" s="32">
        <v>3.3000000000000002E-2</v>
      </c>
      <c r="K70" s="36"/>
      <c r="L70" s="31">
        <v>1</v>
      </c>
      <c r="M70" s="31" t="s">
        <v>40</v>
      </c>
      <c r="N70" s="31" t="s">
        <v>159</v>
      </c>
      <c r="O70" s="31" t="s">
        <v>160</v>
      </c>
      <c r="P70" s="31" t="s">
        <v>34</v>
      </c>
      <c r="W70" s="31" t="s">
        <v>35</v>
      </c>
      <c r="X70" s="31">
        <v>1</v>
      </c>
      <c r="Y70" s="31" t="s">
        <v>146</v>
      </c>
      <c r="Z70" s="31" t="s">
        <v>38</v>
      </c>
      <c r="AB70" s="37">
        <f ca="1">(ALL_PROD_RISK6[[#This Row],[MATURITY]]-TODAY())/365</f>
        <v>-0.25479452054794521</v>
      </c>
      <c r="AC70" s="38" t="e">
        <f>_xlfn.XLOOKUP(ALL_PROD_RISK6[[#This Row],[Rank]],[1]!RANKtbl[Rank],[1]!RANKtbl[STEPS])</f>
        <v>#REF!</v>
      </c>
      <c r="AD70" s="38">
        <f>IF(ALL_PROD_RISK6[[#This Row],[RATING]]="AAA",-7,)</f>
        <v>0</v>
      </c>
      <c r="AE70" s="38"/>
      <c r="AF70" s="38"/>
      <c r="AG70" s="38"/>
      <c r="AH70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70" s="39" t="e">
        <f>IF(ALL_PROD_RISK6[[#This Row],[C_INDEX]]&lt;1,"AAA",_xlfn.XLOOKUP(ALL_PROD_RISK6[[#This Row],[C_INDEX]],[1]!CS_RATING[INDEX],[1]!CS_RATING[RATING]))</f>
        <v>#REF!</v>
      </c>
      <c r="AJ70" s="21">
        <v>0</v>
      </c>
    </row>
    <row r="71" spans="1:36" x14ac:dyDescent="0.2">
      <c r="A71" s="31">
        <v>1</v>
      </c>
      <c r="B71" s="31">
        <v>2023013</v>
      </c>
      <c r="C71" s="31" t="s">
        <v>282</v>
      </c>
      <c r="D71" s="31" t="s">
        <v>32</v>
      </c>
      <c r="E71" s="31" t="s">
        <v>41</v>
      </c>
      <c r="F71" s="31" t="s">
        <v>274</v>
      </c>
      <c r="G71" s="31" t="s">
        <v>33</v>
      </c>
      <c r="H71" s="40">
        <v>45068</v>
      </c>
      <c r="I71" s="40">
        <f>IF(ALL_PROD_RISK3[[#This Row],[MATURITY]]='INPUT_BONDS (2)'!$AM$2,'INPUT_BONDS (2)'!$AN$2,ALL_PROD_RISK3[[#This Row],[MATURITY]])</f>
        <v>45252</v>
      </c>
      <c r="J71" s="32">
        <v>2.9499999999999998E-2</v>
      </c>
      <c r="K71" s="36"/>
      <c r="L71" s="31">
        <v>1</v>
      </c>
      <c r="M71" s="31" t="s">
        <v>41</v>
      </c>
      <c r="N71" s="31" t="s">
        <v>159</v>
      </c>
      <c r="O71" s="31" t="s">
        <v>160</v>
      </c>
      <c r="P71" s="31" t="s">
        <v>34</v>
      </c>
      <c r="W71" s="31" t="s">
        <v>35</v>
      </c>
      <c r="X71" s="31">
        <v>1</v>
      </c>
      <c r="Y71" s="31" t="s">
        <v>146</v>
      </c>
      <c r="Z71" s="31" t="s">
        <v>38</v>
      </c>
      <c r="AB71" s="37">
        <f ca="1">(ALL_PROD_RISK6[[#This Row],[MATURITY]]-TODAY())/365</f>
        <v>-0.26849315068493151</v>
      </c>
      <c r="AC71" s="38" t="e">
        <f>_xlfn.XLOOKUP(ALL_PROD_RISK6[[#This Row],[Rank]],[1]!RANKtbl[Rank],[1]!RANKtbl[STEPS])</f>
        <v>#REF!</v>
      </c>
      <c r="AD71" s="38">
        <f>IF(ALL_PROD_RISK6[[#This Row],[RATING]]="AAA",-7,)</f>
        <v>0</v>
      </c>
      <c r="AE71" s="38"/>
      <c r="AF71" s="38"/>
      <c r="AG71" s="38"/>
      <c r="AH71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71" s="39" t="e">
        <f>IF(ALL_PROD_RISK6[[#This Row],[C_INDEX]]&lt;1,"AAA",_xlfn.XLOOKUP(ALL_PROD_RISK6[[#This Row],[C_INDEX]],[1]!CS_RATING[INDEX],[1]!CS_RATING[RATING]))</f>
        <v>#REF!</v>
      </c>
      <c r="AJ71" s="21">
        <v>0</v>
      </c>
    </row>
    <row r="72" spans="1:36" x14ac:dyDescent="0.2">
      <c r="A72" s="31">
        <v>1</v>
      </c>
      <c r="B72" s="31">
        <v>2023015</v>
      </c>
      <c r="C72" s="31" t="s">
        <v>281</v>
      </c>
      <c r="D72" s="31" t="s">
        <v>32</v>
      </c>
      <c r="E72" s="31" t="s">
        <v>142</v>
      </c>
      <c r="F72" s="31" t="s">
        <v>274</v>
      </c>
      <c r="G72" s="31" t="s">
        <v>33</v>
      </c>
      <c r="H72" s="40">
        <v>45107</v>
      </c>
      <c r="I72" s="40">
        <f>IF(ALL_PROD_RISK3[[#This Row],[MATURITY]]='INPUT_BONDS (2)'!$AM$2,'INPUT_BONDS (2)'!$AN$2,ALL_PROD_RISK3[[#This Row],[MATURITY]])</f>
        <v>45294</v>
      </c>
      <c r="J72" s="32">
        <v>4.2999999999999997E-2</v>
      </c>
      <c r="K72" s="36"/>
      <c r="L72" s="31">
        <v>1</v>
      </c>
      <c r="M72" s="31" t="s">
        <v>143</v>
      </c>
      <c r="N72" s="31" t="s">
        <v>159</v>
      </c>
      <c r="O72" s="31" t="s">
        <v>160</v>
      </c>
      <c r="P72" s="31" t="s">
        <v>34</v>
      </c>
      <c r="W72" s="31" t="s">
        <v>35</v>
      </c>
      <c r="X72" s="31">
        <v>1</v>
      </c>
      <c r="Y72" s="31" t="s">
        <v>153</v>
      </c>
      <c r="Z72" s="31" t="s">
        <v>38</v>
      </c>
      <c r="AB72" s="37">
        <f ca="1">(ALL_PROD_RISK6[[#This Row],[MATURITY]]-TODAY())/365</f>
        <v>-0.15342465753424658</v>
      </c>
      <c r="AC72" s="38" t="e">
        <f>_xlfn.XLOOKUP(ALL_PROD_RISK6[[#This Row],[Rank]],[1]!RANKtbl[Rank],[1]!RANKtbl[STEPS])</f>
        <v>#REF!</v>
      </c>
      <c r="AD72" s="38">
        <f>IF(ALL_PROD_RISK6[[#This Row],[RATING]]="AAA",-7,)</f>
        <v>0</v>
      </c>
      <c r="AE72" s="38"/>
      <c r="AF72" s="38"/>
      <c r="AG72" s="38"/>
      <c r="AH72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72" s="39" t="e">
        <f>IF(ALL_PROD_RISK6[[#This Row],[C_INDEX]]&lt;1,"AAA",_xlfn.XLOOKUP(ALL_PROD_RISK6[[#This Row],[C_INDEX]],[1]!CS_RATING[INDEX],[1]!CS_RATING[RATING]))</f>
        <v>#REF!</v>
      </c>
      <c r="AJ72" s="21">
        <v>0</v>
      </c>
    </row>
    <row r="73" spans="1:36" x14ac:dyDescent="0.2">
      <c r="A73" s="31">
        <v>1</v>
      </c>
      <c r="B73" s="31">
        <v>2023017</v>
      </c>
      <c r="C73" s="31" t="s">
        <v>283</v>
      </c>
      <c r="D73" s="31" t="s">
        <v>284</v>
      </c>
      <c r="E73" s="31" t="s">
        <v>41</v>
      </c>
      <c r="F73" s="31" t="s">
        <v>274</v>
      </c>
      <c r="G73" s="31" t="s">
        <v>33</v>
      </c>
      <c r="H73" s="40">
        <v>45190</v>
      </c>
      <c r="I73" s="40">
        <f>IF(ALL_PROD_RISK3[[#This Row],[MATURITY]]='INPUT_BONDS (2)'!$AM$2,'INPUT_BONDS (2)'!$AN$2,ALL_PROD_RISK3[[#This Row],[MATURITY]])</f>
        <v>45283</v>
      </c>
      <c r="J73" s="32">
        <v>2.5000000000000001E-2</v>
      </c>
      <c r="K73" s="36"/>
      <c r="L73" s="31">
        <v>4</v>
      </c>
      <c r="M73" s="31" t="s">
        <v>41</v>
      </c>
      <c r="N73" s="31" t="s">
        <v>159</v>
      </c>
      <c r="O73" s="31" t="s">
        <v>160</v>
      </c>
      <c r="P73" s="31" t="s">
        <v>34</v>
      </c>
      <c r="W73" s="31" t="s">
        <v>35</v>
      </c>
      <c r="X73" s="31">
        <v>1</v>
      </c>
      <c r="Y73" s="31" t="s">
        <v>146</v>
      </c>
      <c r="Z73" s="31" t="s">
        <v>38</v>
      </c>
      <c r="AB73" s="37">
        <f ca="1">(ALL_PROD_RISK6[[#This Row],[MATURITY]]-TODAY())/365</f>
        <v>-0.18356164383561643</v>
      </c>
      <c r="AC73" s="38" t="e">
        <f>_xlfn.XLOOKUP(ALL_PROD_RISK6[[#This Row],[Rank]],[1]!RANKtbl[Rank],[1]!RANKtbl[STEPS])</f>
        <v>#REF!</v>
      </c>
      <c r="AD73" s="38">
        <f>IF(ALL_PROD_RISK6[[#This Row],[RATING]]="AAA",-7,)</f>
        <v>0</v>
      </c>
      <c r="AE73" s="38"/>
      <c r="AF73" s="38"/>
      <c r="AG73" s="38"/>
      <c r="AH73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73" s="39" t="e">
        <f>IF(ALL_PROD_RISK6[[#This Row],[C_INDEX]]&lt;1,"AAA",_xlfn.XLOOKUP(ALL_PROD_RISK6[[#This Row],[C_INDEX]],[1]!CS_RATING[INDEX],[1]!CS_RATING[RATING]))</f>
        <v>#REF!</v>
      </c>
      <c r="AJ73" s="21">
        <v>0</v>
      </c>
    </row>
  </sheetData>
  <conditionalFormatting sqref="AD2:AD73">
    <cfRule type="cellIs" dxfId="0" priority="1" operator="notEqual">
      <formula>0</formula>
    </cfRule>
  </conditionalFormatting>
  <pageMargins left="0.7" right="0.7" top="0.78740157499999996" bottom="0.78740157499999996" header="0.3" footer="0.3"/>
  <customProperties>
    <customPr name="_pios_id" r:id="rId1"/>
  </customProperties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3B70B-5779-4593-9301-8E092FF83D2C}">
  <dimension ref="A1:G79"/>
  <sheetViews>
    <sheetView workbookViewId="0">
      <selection activeCell="L65" sqref="L65"/>
    </sheetView>
  </sheetViews>
  <sheetFormatPr baseColWidth="10" defaultRowHeight="15" x14ac:dyDescent="0.25"/>
  <cols>
    <col min="3" max="3" width="17.28515625" customWidth="1"/>
    <col min="4" max="4" width="13.28515625" customWidth="1"/>
    <col min="5" max="5" width="14" customWidth="1"/>
    <col min="6" max="6" width="22.28515625" customWidth="1"/>
    <col min="7" max="7" width="18.85546875" customWidth="1"/>
  </cols>
  <sheetData>
    <row r="1" spans="1:7" x14ac:dyDescent="0.25">
      <c r="A1" s="1" t="s">
        <v>0</v>
      </c>
      <c r="B1" s="2" t="s">
        <v>1</v>
      </c>
      <c r="C1" s="3" t="s">
        <v>2</v>
      </c>
      <c r="D1" s="3" t="s">
        <v>3</v>
      </c>
      <c r="E1" s="4" t="s">
        <v>4</v>
      </c>
      <c r="F1" s="3" t="s">
        <v>5</v>
      </c>
      <c r="G1" s="5" t="s">
        <v>6</v>
      </c>
    </row>
    <row r="2" spans="1:7" x14ac:dyDescent="0.25">
      <c r="A2" s="6">
        <v>1</v>
      </c>
      <c r="B2" s="7">
        <v>1</v>
      </c>
      <c r="C2" s="8">
        <v>283140</v>
      </c>
      <c r="D2" s="8">
        <v>100</v>
      </c>
      <c r="E2" s="9">
        <v>45191</v>
      </c>
      <c r="F2" s="8" t="s">
        <v>232</v>
      </c>
      <c r="G2" s="10">
        <v>62500.07</v>
      </c>
    </row>
    <row r="3" spans="1:7" x14ac:dyDescent="0.25">
      <c r="A3" s="6">
        <v>1</v>
      </c>
      <c r="B3" s="7">
        <v>2</v>
      </c>
      <c r="C3" s="8">
        <v>283300</v>
      </c>
      <c r="D3" s="8">
        <v>100</v>
      </c>
      <c r="E3" s="9">
        <v>45191</v>
      </c>
      <c r="F3" s="8" t="s">
        <v>232</v>
      </c>
      <c r="G3" s="10">
        <v>88669.759999999995</v>
      </c>
    </row>
    <row r="4" spans="1:7" x14ac:dyDescent="0.25">
      <c r="A4" s="6">
        <v>1</v>
      </c>
      <c r="B4" s="7">
        <v>3</v>
      </c>
      <c r="C4" s="8">
        <v>283310</v>
      </c>
      <c r="D4" s="8">
        <v>100</v>
      </c>
      <c r="E4" s="9">
        <v>45191</v>
      </c>
      <c r="F4" s="8" t="s">
        <v>232</v>
      </c>
      <c r="G4" s="10">
        <v>12845.94</v>
      </c>
    </row>
    <row r="5" spans="1:7" x14ac:dyDescent="0.25">
      <c r="A5" s="6">
        <v>1</v>
      </c>
      <c r="B5" s="7">
        <v>4</v>
      </c>
      <c r="C5" s="8">
        <v>283239</v>
      </c>
      <c r="D5" s="8">
        <v>100</v>
      </c>
      <c r="E5" s="9">
        <v>45191</v>
      </c>
      <c r="F5" s="8" t="s">
        <v>232</v>
      </c>
      <c r="G5" s="10">
        <v>15781.47</v>
      </c>
    </row>
    <row r="6" spans="1:7" x14ac:dyDescent="0.25">
      <c r="A6" s="6">
        <v>1</v>
      </c>
      <c r="B6" s="7">
        <v>5</v>
      </c>
      <c r="C6" s="8">
        <v>283250</v>
      </c>
      <c r="D6" s="8">
        <v>100</v>
      </c>
      <c r="E6" s="9">
        <v>45191</v>
      </c>
      <c r="F6" s="8" t="s">
        <v>232</v>
      </c>
      <c r="G6" s="10">
        <v>611839.57999999996</v>
      </c>
    </row>
    <row r="7" spans="1:7" x14ac:dyDescent="0.25">
      <c r="A7" s="6">
        <v>1</v>
      </c>
      <c r="B7" s="7">
        <v>6</v>
      </c>
      <c r="C7" s="8" t="s">
        <v>239</v>
      </c>
      <c r="D7" s="8">
        <v>100</v>
      </c>
      <c r="E7" s="9">
        <v>42657</v>
      </c>
      <c r="F7" s="8" t="s">
        <v>238</v>
      </c>
      <c r="G7" s="10">
        <v>1999000</v>
      </c>
    </row>
    <row r="8" spans="1:7" x14ac:dyDescent="0.25">
      <c r="A8" s="6">
        <v>1</v>
      </c>
      <c r="B8" s="7">
        <v>7</v>
      </c>
      <c r="C8" s="8" t="s">
        <v>188</v>
      </c>
      <c r="D8" s="8">
        <v>100</v>
      </c>
      <c r="E8" s="9">
        <v>43081</v>
      </c>
      <c r="F8" s="8" t="s">
        <v>238</v>
      </c>
      <c r="G8" s="10">
        <v>3000000</v>
      </c>
    </row>
    <row r="9" spans="1:7" x14ac:dyDescent="0.25">
      <c r="A9" s="6">
        <v>1</v>
      </c>
      <c r="B9" s="7">
        <v>8</v>
      </c>
      <c r="C9" s="8" t="s">
        <v>193</v>
      </c>
      <c r="D9" s="8">
        <v>100</v>
      </c>
      <c r="E9" s="9">
        <v>43349</v>
      </c>
      <c r="F9" s="8" t="s">
        <v>238</v>
      </c>
      <c r="G9" s="10">
        <v>3000000</v>
      </c>
    </row>
    <row r="10" spans="1:7" x14ac:dyDescent="0.25">
      <c r="A10" s="6">
        <v>1</v>
      </c>
      <c r="B10" s="7">
        <v>9</v>
      </c>
      <c r="C10" s="8">
        <v>283290</v>
      </c>
      <c r="D10" s="8">
        <v>100</v>
      </c>
      <c r="E10" s="9">
        <v>45191</v>
      </c>
      <c r="F10" s="8" t="s">
        <v>232</v>
      </c>
      <c r="G10" s="10">
        <v>803.13</v>
      </c>
    </row>
    <row r="11" spans="1:7" x14ac:dyDescent="0.25">
      <c r="A11" s="6">
        <v>1</v>
      </c>
      <c r="B11" s="7">
        <v>10</v>
      </c>
      <c r="C11" s="8">
        <v>283110</v>
      </c>
      <c r="D11" s="8">
        <v>100</v>
      </c>
      <c r="E11" s="9">
        <v>45191</v>
      </c>
      <c r="F11" s="8" t="s">
        <v>232</v>
      </c>
      <c r="G11" s="10">
        <v>17541149.539999999</v>
      </c>
    </row>
    <row r="12" spans="1:7" x14ac:dyDescent="0.25">
      <c r="A12" s="6">
        <v>1</v>
      </c>
      <c r="B12" s="7">
        <v>11</v>
      </c>
      <c r="C12" s="8">
        <v>283263</v>
      </c>
      <c r="D12" s="8">
        <v>100</v>
      </c>
      <c r="E12" s="9">
        <v>45191</v>
      </c>
      <c r="F12" s="8" t="s">
        <v>232</v>
      </c>
      <c r="G12" s="10">
        <v>72729.95</v>
      </c>
    </row>
    <row r="13" spans="1:7" x14ac:dyDescent="0.25">
      <c r="A13" s="6">
        <v>1</v>
      </c>
      <c r="B13" s="7">
        <v>12</v>
      </c>
      <c r="C13" s="8">
        <v>283264</v>
      </c>
      <c r="D13" s="8">
        <v>100</v>
      </c>
      <c r="E13" s="9">
        <v>45191</v>
      </c>
      <c r="F13" s="8" t="s">
        <v>232</v>
      </c>
      <c r="G13" s="10">
        <v>3206.25</v>
      </c>
    </row>
    <row r="14" spans="1:7" x14ac:dyDescent="0.25">
      <c r="A14" s="6">
        <v>1</v>
      </c>
      <c r="B14" s="7">
        <v>13</v>
      </c>
      <c r="C14" s="8">
        <v>283112</v>
      </c>
      <c r="D14" s="8">
        <v>100</v>
      </c>
      <c r="E14" s="9">
        <v>45191</v>
      </c>
      <c r="F14" s="8" t="s">
        <v>232</v>
      </c>
      <c r="G14" s="10">
        <v>468391.55</v>
      </c>
    </row>
    <row r="15" spans="1:7" x14ac:dyDescent="0.25">
      <c r="A15" s="6">
        <v>1</v>
      </c>
      <c r="B15" s="7">
        <v>14</v>
      </c>
      <c r="C15" s="8">
        <v>283132</v>
      </c>
      <c r="D15" s="8">
        <v>100</v>
      </c>
      <c r="E15" s="9">
        <v>45191</v>
      </c>
      <c r="F15" s="8" t="s">
        <v>232</v>
      </c>
      <c r="G15" s="10">
        <v>68612.62</v>
      </c>
    </row>
    <row r="16" spans="1:7" x14ac:dyDescent="0.25">
      <c r="A16" s="6">
        <v>1</v>
      </c>
      <c r="B16" s="7">
        <v>15</v>
      </c>
      <c r="C16" s="11" t="s">
        <v>196</v>
      </c>
      <c r="D16" s="8">
        <v>100</v>
      </c>
      <c r="E16" s="9">
        <v>43236</v>
      </c>
      <c r="F16" s="8" t="s">
        <v>238</v>
      </c>
      <c r="G16" s="10">
        <v>3000000</v>
      </c>
    </row>
    <row r="17" spans="1:7" x14ac:dyDescent="0.25">
      <c r="A17" s="6">
        <v>1</v>
      </c>
      <c r="B17" s="7">
        <v>16</v>
      </c>
      <c r="C17" s="8" t="s">
        <v>196</v>
      </c>
      <c r="D17" s="8">
        <v>100</v>
      </c>
      <c r="E17" s="9">
        <v>43377</v>
      </c>
      <c r="F17" s="8" t="s">
        <v>238</v>
      </c>
      <c r="G17" s="10">
        <v>2000000</v>
      </c>
    </row>
    <row r="18" spans="1:7" x14ac:dyDescent="0.25">
      <c r="A18" s="6">
        <v>1</v>
      </c>
      <c r="B18" s="7">
        <v>17</v>
      </c>
      <c r="C18" s="8">
        <v>283100</v>
      </c>
      <c r="D18" s="8">
        <v>100</v>
      </c>
      <c r="E18" s="9">
        <v>45191</v>
      </c>
      <c r="F18" s="8" t="s">
        <v>232</v>
      </c>
      <c r="G18" s="10">
        <v>23921007.850000001</v>
      </c>
    </row>
    <row r="19" spans="1:7" x14ac:dyDescent="0.25">
      <c r="A19" s="6">
        <v>1</v>
      </c>
      <c r="B19" s="7">
        <v>18</v>
      </c>
      <c r="C19" s="8" t="s">
        <v>46</v>
      </c>
      <c r="D19" s="8">
        <v>100</v>
      </c>
      <c r="E19" s="9">
        <v>43158</v>
      </c>
      <c r="F19" s="8" t="s">
        <v>238</v>
      </c>
      <c r="G19" s="10">
        <v>1000000</v>
      </c>
    </row>
    <row r="20" spans="1:7" x14ac:dyDescent="0.25">
      <c r="A20" s="6">
        <v>1</v>
      </c>
      <c r="B20" s="7">
        <v>19</v>
      </c>
      <c r="C20" s="8">
        <v>283241</v>
      </c>
      <c r="D20" s="8">
        <v>100</v>
      </c>
      <c r="E20" s="9">
        <v>45191</v>
      </c>
      <c r="F20" s="8" t="s">
        <v>232</v>
      </c>
      <c r="G20" s="10">
        <v>2652950.83</v>
      </c>
    </row>
    <row r="21" spans="1:7" x14ac:dyDescent="0.25">
      <c r="A21" s="6">
        <v>1</v>
      </c>
      <c r="B21" s="7">
        <v>20</v>
      </c>
      <c r="C21" s="8">
        <v>283246</v>
      </c>
      <c r="D21" s="8">
        <v>100</v>
      </c>
      <c r="E21" s="9">
        <v>45042</v>
      </c>
      <c r="F21" s="8" t="s">
        <v>232</v>
      </c>
      <c r="G21" s="10">
        <v>10000000</v>
      </c>
    </row>
    <row r="22" spans="1:7" x14ac:dyDescent="0.25">
      <c r="A22" s="6">
        <v>1</v>
      </c>
      <c r="B22" s="7">
        <v>21</v>
      </c>
      <c r="C22" s="8" t="s">
        <v>253</v>
      </c>
      <c r="D22" s="8">
        <v>100</v>
      </c>
      <c r="E22" s="9">
        <v>43598</v>
      </c>
      <c r="F22" s="8" t="s">
        <v>238</v>
      </c>
      <c r="G22" s="10">
        <v>1500000</v>
      </c>
    </row>
    <row r="23" spans="1:7" x14ac:dyDescent="0.25">
      <c r="A23" s="6">
        <v>1</v>
      </c>
      <c r="B23" s="7">
        <v>22</v>
      </c>
      <c r="C23" s="8" t="s">
        <v>253</v>
      </c>
      <c r="D23" s="8">
        <v>100</v>
      </c>
      <c r="E23" s="9">
        <v>43767</v>
      </c>
      <c r="F23" s="8" t="s">
        <v>238</v>
      </c>
      <c r="G23" s="10">
        <v>1500000</v>
      </c>
    </row>
    <row r="24" spans="1:7" x14ac:dyDescent="0.25">
      <c r="A24" s="6">
        <v>1</v>
      </c>
      <c r="B24" s="7">
        <v>23</v>
      </c>
      <c r="C24" s="8" t="s">
        <v>51</v>
      </c>
      <c r="D24" s="8">
        <v>100</v>
      </c>
      <c r="E24" s="9">
        <v>44470</v>
      </c>
      <c r="F24" s="8" t="s">
        <v>238</v>
      </c>
      <c r="G24" s="10">
        <v>4392000</v>
      </c>
    </row>
    <row r="25" spans="1:7" x14ac:dyDescent="0.25">
      <c r="A25" s="6">
        <v>1</v>
      </c>
      <c r="B25" s="7">
        <v>24</v>
      </c>
      <c r="C25" s="8" t="s">
        <v>255</v>
      </c>
      <c r="D25" s="8">
        <v>100</v>
      </c>
      <c r="E25" s="9">
        <v>41121</v>
      </c>
      <c r="F25" s="8" t="s">
        <v>238</v>
      </c>
      <c r="G25" s="10">
        <v>1200000</v>
      </c>
    </row>
    <row r="26" spans="1:7" x14ac:dyDescent="0.25">
      <c r="A26" s="6">
        <v>1</v>
      </c>
      <c r="B26" s="7">
        <v>25</v>
      </c>
      <c r="C26" s="8" t="s">
        <v>257</v>
      </c>
      <c r="D26" s="8">
        <v>100</v>
      </c>
      <c r="E26" s="9">
        <v>43437</v>
      </c>
      <c r="F26" s="8" t="s">
        <v>238</v>
      </c>
      <c r="G26" s="10">
        <v>2000000</v>
      </c>
    </row>
    <row r="27" spans="1:7" x14ac:dyDescent="0.25">
      <c r="A27" s="6">
        <v>1</v>
      </c>
      <c r="B27" s="7">
        <v>26</v>
      </c>
      <c r="C27" s="8" t="s">
        <v>55</v>
      </c>
      <c r="D27" s="8">
        <v>100</v>
      </c>
      <c r="E27" s="9">
        <v>43916</v>
      </c>
      <c r="F27" s="8" t="s">
        <v>238</v>
      </c>
      <c r="G27" s="10">
        <v>3200000</v>
      </c>
    </row>
    <row r="28" spans="1:7" x14ac:dyDescent="0.25">
      <c r="A28" s="6">
        <v>1</v>
      </c>
      <c r="B28" s="7">
        <v>27</v>
      </c>
      <c r="C28" s="8" t="s">
        <v>57</v>
      </c>
      <c r="D28" s="8">
        <v>100</v>
      </c>
      <c r="E28" s="9">
        <v>43798</v>
      </c>
      <c r="F28" s="8" t="s">
        <v>238</v>
      </c>
      <c r="G28" s="10">
        <v>2000000</v>
      </c>
    </row>
    <row r="29" spans="1:7" x14ac:dyDescent="0.25">
      <c r="A29" s="6">
        <v>1</v>
      </c>
      <c r="B29" s="7">
        <v>28</v>
      </c>
      <c r="C29" s="8" t="s">
        <v>59</v>
      </c>
      <c r="D29" s="8">
        <v>100</v>
      </c>
      <c r="E29" s="9">
        <v>43229</v>
      </c>
      <c r="F29" s="8" t="s">
        <v>238</v>
      </c>
      <c r="G29" s="10">
        <v>1000000</v>
      </c>
    </row>
    <row r="30" spans="1:7" x14ac:dyDescent="0.25">
      <c r="A30" s="6">
        <v>1</v>
      </c>
      <c r="B30" s="7">
        <v>29</v>
      </c>
      <c r="C30" s="8" t="s">
        <v>199</v>
      </c>
      <c r="D30" s="8">
        <v>100</v>
      </c>
      <c r="E30" s="9">
        <v>43445</v>
      </c>
      <c r="F30" s="8" t="s">
        <v>238</v>
      </c>
      <c r="G30" s="10">
        <v>5000000</v>
      </c>
    </row>
    <row r="31" spans="1:7" x14ac:dyDescent="0.25">
      <c r="A31" s="6">
        <v>1</v>
      </c>
      <c r="B31" s="7">
        <v>30</v>
      </c>
      <c r="C31" t="s">
        <v>66</v>
      </c>
      <c r="D31" s="8">
        <v>100</v>
      </c>
      <c r="E31" s="9">
        <v>43812</v>
      </c>
      <c r="F31" s="8" t="s">
        <v>238</v>
      </c>
      <c r="G31" s="10">
        <v>3000000</v>
      </c>
    </row>
    <row r="32" spans="1:7" x14ac:dyDescent="0.25">
      <c r="A32" s="6">
        <v>1</v>
      </c>
      <c r="B32" s="7">
        <v>31</v>
      </c>
      <c r="C32">
        <v>283340</v>
      </c>
      <c r="D32" s="8">
        <v>100</v>
      </c>
      <c r="E32" s="9">
        <v>45191</v>
      </c>
      <c r="F32" s="8" t="s">
        <v>232</v>
      </c>
      <c r="G32" s="10">
        <v>32539.48</v>
      </c>
    </row>
    <row r="33" spans="1:7" x14ac:dyDescent="0.25">
      <c r="A33" s="6">
        <v>1</v>
      </c>
      <c r="B33" s="7">
        <v>32</v>
      </c>
      <c r="C33">
        <v>283350</v>
      </c>
      <c r="D33" s="8">
        <v>100</v>
      </c>
      <c r="E33" s="9">
        <v>45191</v>
      </c>
      <c r="F33" s="8" t="s">
        <v>232</v>
      </c>
      <c r="G33" s="10">
        <v>10000</v>
      </c>
    </row>
    <row r="34" spans="1:7" x14ac:dyDescent="0.25">
      <c r="A34" s="6">
        <v>1</v>
      </c>
      <c r="B34" s="7">
        <v>33</v>
      </c>
      <c r="C34" t="s">
        <v>242</v>
      </c>
      <c r="D34" s="8">
        <v>100</v>
      </c>
      <c r="E34" s="9">
        <v>43433</v>
      </c>
      <c r="F34" s="8" t="s">
        <v>238</v>
      </c>
      <c r="G34" s="10">
        <v>3000000</v>
      </c>
    </row>
    <row r="35" spans="1:7" x14ac:dyDescent="0.25">
      <c r="A35" s="6">
        <v>1</v>
      </c>
      <c r="B35" s="7">
        <v>34</v>
      </c>
      <c r="C35" t="s">
        <v>203</v>
      </c>
      <c r="D35" s="8">
        <v>100</v>
      </c>
      <c r="E35" s="9">
        <v>43088</v>
      </c>
      <c r="F35" s="8" t="s">
        <v>238</v>
      </c>
      <c r="G35" s="10">
        <v>3000000</v>
      </c>
    </row>
    <row r="36" spans="1:7" x14ac:dyDescent="0.25">
      <c r="A36" s="6">
        <v>1</v>
      </c>
      <c r="B36" s="7">
        <v>35</v>
      </c>
      <c r="C36" t="s">
        <v>206</v>
      </c>
      <c r="D36" s="8">
        <v>100</v>
      </c>
      <c r="E36" s="9">
        <v>43817</v>
      </c>
      <c r="F36" s="8" t="s">
        <v>238</v>
      </c>
      <c r="G36" s="10">
        <v>3000000</v>
      </c>
    </row>
    <row r="37" spans="1:7" x14ac:dyDescent="0.25">
      <c r="A37" s="6">
        <v>1</v>
      </c>
      <c r="B37" s="7">
        <v>36</v>
      </c>
      <c r="C37" t="s">
        <v>74</v>
      </c>
      <c r="D37" s="8">
        <v>100</v>
      </c>
      <c r="E37" s="9">
        <v>44551</v>
      </c>
      <c r="F37" s="8" t="s">
        <v>238</v>
      </c>
      <c r="G37" s="10">
        <v>1500000</v>
      </c>
    </row>
    <row r="38" spans="1:7" x14ac:dyDescent="0.25">
      <c r="A38" s="6">
        <v>1</v>
      </c>
      <c r="B38" s="7">
        <v>37</v>
      </c>
      <c r="C38" t="s">
        <v>76</v>
      </c>
      <c r="D38" s="8">
        <v>100</v>
      </c>
      <c r="E38" s="9">
        <v>44610</v>
      </c>
      <c r="F38" s="8" t="s">
        <v>238</v>
      </c>
      <c r="G38" s="10">
        <v>1000000</v>
      </c>
    </row>
    <row r="39" spans="1:7" x14ac:dyDescent="0.25">
      <c r="A39" s="6">
        <v>1</v>
      </c>
      <c r="B39" s="7">
        <v>38</v>
      </c>
      <c r="C39" t="s">
        <v>76</v>
      </c>
      <c r="D39" s="8">
        <v>100</v>
      </c>
      <c r="E39" s="9">
        <v>44610</v>
      </c>
      <c r="F39" s="8" t="s">
        <v>238</v>
      </c>
      <c r="G39" s="10">
        <v>1000000</v>
      </c>
    </row>
    <row r="40" spans="1:7" x14ac:dyDescent="0.25">
      <c r="A40" s="6">
        <v>1</v>
      </c>
      <c r="B40" s="7">
        <v>39</v>
      </c>
      <c r="C40" t="s">
        <v>80</v>
      </c>
      <c r="D40" s="8">
        <v>100</v>
      </c>
      <c r="E40" s="9">
        <v>44613</v>
      </c>
      <c r="F40" s="8" t="s">
        <v>238</v>
      </c>
      <c r="G40" s="10">
        <v>1000000</v>
      </c>
    </row>
    <row r="41" spans="1:7" x14ac:dyDescent="0.25">
      <c r="A41" s="6">
        <v>1</v>
      </c>
      <c r="B41" s="7">
        <v>40</v>
      </c>
      <c r="C41" t="s">
        <v>84</v>
      </c>
      <c r="D41" s="8">
        <v>100</v>
      </c>
      <c r="E41" s="9">
        <v>44613</v>
      </c>
      <c r="F41" s="8" t="s">
        <v>238</v>
      </c>
      <c r="G41" s="10">
        <v>1000000</v>
      </c>
    </row>
    <row r="42" spans="1:7" x14ac:dyDescent="0.25">
      <c r="A42" s="6">
        <v>1</v>
      </c>
      <c r="B42" s="7">
        <v>41</v>
      </c>
      <c r="C42" t="s">
        <v>86</v>
      </c>
      <c r="D42" s="8">
        <v>100</v>
      </c>
      <c r="E42" s="9">
        <v>44627</v>
      </c>
      <c r="F42" s="8" t="s">
        <v>238</v>
      </c>
      <c r="G42" s="10">
        <v>1000000</v>
      </c>
    </row>
    <row r="43" spans="1:7" x14ac:dyDescent="0.25">
      <c r="A43" s="6">
        <v>1</v>
      </c>
      <c r="B43" s="7">
        <v>42</v>
      </c>
      <c r="C43" t="s">
        <v>90</v>
      </c>
      <c r="D43" s="8">
        <v>100</v>
      </c>
      <c r="E43" s="9">
        <v>44627</v>
      </c>
      <c r="F43" s="8" t="s">
        <v>238</v>
      </c>
      <c r="G43" s="10">
        <v>1000000</v>
      </c>
    </row>
    <row r="44" spans="1:7" x14ac:dyDescent="0.25">
      <c r="A44" s="6">
        <v>1</v>
      </c>
      <c r="B44" s="7">
        <v>43</v>
      </c>
      <c r="C44" t="s">
        <v>95</v>
      </c>
      <c r="D44" s="8">
        <v>100</v>
      </c>
      <c r="E44" s="9">
        <v>44649</v>
      </c>
      <c r="F44" s="8" t="s">
        <v>238</v>
      </c>
      <c r="G44" s="10">
        <v>1000000</v>
      </c>
    </row>
    <row r="45" spans="1:7" x14ac:dyDescent="0.25">
      <c r="A45" s="6">
        <v>1</v>
      </c>
      <c r="B45" s="7">
        <v>44</v>
      </c>
      <c r="C45" t="s">
        <v>99</v>
      </c>
      <c r="D45" s="8">
        <v>100</v>
      </c>
      <c r="E45" s="9">
        <v>44649</v>
      </c>
      <c r="F45" s="8" t="s">
        <v>238</v>
      </c>
      <c r="G45" s="10">
        <v>1000000</v>
      </c>
    </row>
    <row r="46" spans="1:7" x14ac:dyDescent="0.25">
      <c r="A46" s="6">
        <v>1</v>
      </c>
      <c r="B46" s="7">
        <v>45</v>
      </c>
      <c r="C46" t="s">
        <v>103</v>
      </c>
      <c r="D46" s="8">
        <v>100</v>
      </c>
      <c r="E46" s="9">
        <v>44649</v>
      </c>
      <c r="F46" s="8" t="s">
        <v>238</v>
      </c>
      <c r="G46" s="10">
        <v>1000000</v>
      </c>
    </row>
    <row r="47" spans="1:7" x14ac:dyDescent="0.25">
      <c r="A47" s="6">
        <v>1</v>
      </c>
      <c r="B47" s="7">
        <v>46</v>
      </c>
      <c r="C47" t="s">
        <v>107</v>
      </c>
      <c r="D47" s="8">
        <v>100</v>
      </c>
      <c r="E47" s="9">
        <v>44680</v>
      </c>
      <c r="F47" s="8" t="s">
        <v>238</v>
      </c>
      <c r="G47" s="10">
        <v>1000000</v>
      </c>
    </row>
    <row r="48" spans="1:7" x14ac:dyDescent="0.25">
      <c r="A48" s="6">
        <v>1</v>
      </c>
      <c r="B48" s="7">
        <v>47</v>
      </c>
      <c r="C48" t="s">
        <v>209</v>
      </c>
      <c r="D48" s="8">
        <v>100</v>
      </c>
      <c r="E48" s="9">
        <v>44679</v>
      </c>
      <c r="F48" s="8" t="s">
        <v>238</v>
      </c>
      <c r="G48" s="10">
        <v>1000000</v>
      </c>
    </row>
    <row r="49" spans="1:7" x14ac:dyDescent="0.25">
      <c r="A49" s="6">
        <v>1</v>
      </c>
      <c r="B49" s="7">
        <v>48</v>
      </c>
      <c r="C49" t="s">
        <v>111</v>
      </c>
      <c r="D49" s="8">
        <v>100</v>
      </c>
      <c r="E49" s="9">
        <v>44680</v>
      </c>
      <c r="F49" s="8" t="s">
        <v>238</v>
      </c>
      <c r="G49" s="10">
        <v>1000000</v>
      </c>
    </row>
    <row r="50" spans="1:7" x14ac:dyDescent="0.25">
      <c r="A50" s="6">
        <v>1</v>
      </c>
      <c r="B50" s="7">
        <v>49</v>
      </c>
      <c r="C50" t="s">
        <v>115</v>
      </c>
      <c r="D50" s="8">
        <v>100</v>
      </c>
      <c r="E50" s="9">
        <v>44676</v>
      </c>
      <c r="F50" s="8" t="s">
        <v>238</v>
      </c>
      <c r="G50" s="10">
        <v>1000000</v>
      </c>
    </row>
    <row r="51" spans="1:7" x14ac:dyDescent="0.25">
      <c r="A51" s="6">
        <v>1</v>
      </c>
      <c r="B51" s="7">
        <v>50</v>
      </c>
      <c r="C51" t="s">
        <v>119</v>
      </c>
      <c r="D51" s="8">
        <v>100</v>
      </c>
      <c r="E51" s="9">
        <v>44705</v>
      </c>
      <c r="F51" s="8" t="s">
        <v>238</v>
      </c>
      <c r="G51" s="10">
        <v>1000000</v>
      </c>
    </row>
    <row r="52" spans="1:7" x14ac:dyDescent="0.25">
      <c r="A52" s="6">
        <v>1</v>
      </c>
      <c r="B52" s="7">
        <v>51</v>
      </c>
      <c r="C52" t="s">
        <v>121</v>
      </c>
      <c r="D52" s="8">
        <v>100</v>
      </c>
      <c r="E52" s="9">
        <v>44697</v>
      </c>
      <c r="F52" s="8" t="s">
        <v>238</v>
      </c>
      <c r="G52" s="10">
        <v>1000000</v>
      </c>
    </row>
    <row r="53" spans="1:7" x14ac:dyDescent="0.25">
      <c r="A53" s="6">
        <v>1</v>
      </c>
      <c r="B53" s="7">
        <v>52</v>
      </c>
      <c r="C53" t="s">
        <v>119</v>
      </c>
      <c r="D53" s="8">
        <v>100</v>
      </c>
      <c r="E53" s="9">
        <v>44711</v>
      </c>
      <c r="F53" s="8" t="s">
        <v>238</v>
      </c>
      <c r="G53" s="10">
        <v>1000000</v>
      </c>
    </row>
    <row r="54" spans="1:7" x14ac:dyDescent="0.25">
      <c r="A54" s="6">
        <v>1</v>
      </c>
      <c r="B54" s="7">
        <v>53</v>
      </c>
      <c r="C54" t="s">
        <v>123</v>
      </c>
      <c r="D54" s="8">
        <v>100</v>
      </c>
      <c r="E54" s="9">
        <v>44714</v>
      </c>
      <c r="F54" s="8" t="s">
        <v>238</v>
      </c>
      <c r="G54" s="10">
        <v>1000000</v>
      </c>
    </row>
    <row r="55" spans="1:7" x14ac:dyDescent="0.25">
      <c r="A55" s="6">
        <v>1</v>
      </c>
      <c r="B55" s="7">
        <v>54</v>
      </c>
      <c r="C55" t="s">
        <v>213</v>
      </c>
      <c r="D55" s="8">
        <v>100</v>
      </c>
      <c r="E55" s="9">
        <v>44739</v>
      </c>
      <c r="F55" s="8" t="s">
        <v>238</v>
      </c>
      <c r="G55" s="10">
        <v>1000000</v>
      </c>
    </row>
    <row r="56" spans="1:7" x14ac:dyDescent="0.25">
      <c r="A56" s="6">
        <v>1</v>
      </c>
      <c r="B56" s="7">
        <v>55</v>
      </c>
      <c r="C56" t="s">
        <v>127</v>
      </c>
      <c r="D56" s="8">
        <v>100</v>
      </c>
      <c r="E56" s="9">
        <v>44802</v>
      </c>
      <c r="F56" s="8" t="s">
        <v>238</v>
      </c>
      <c r="G56" s="10">
        <v>1000000</v>
      </c>
    </row>
    <row r="57" spans="1:7" x14ac:dyDescent="0.25">
      <c r="A57" s="6">
        <v>1</v>
      </c>
      <c r="B57" s="7">
        <v>56</v>
      </c>
      <c r="C57" t="s">
        <v>131</v>
      </c>
      <c r="D57" s="8">
        <v>100</v>
      </c>
      <c r="E57" s="9">
        <v>44825</v>
      </c>
      <c r="F57" s="8" t="s">
        <v>238</v>
      </c>
      <c r="G57" s="10">
        <v>3000000</v>
      </c>
    </row>
    <row r="58" spans="1:7" x14ac:dyDescent="0.25">
      <c r="A58" s="6">
        <v>1</v>
      </c>
      <c r="B58" s="7">
        <v>57</v>
      </c>
      <c r="C58" t="s">
        <v>135</v>
      </c>
      <c r="D58" s="8">
        <v>100</v>
      </c>
      <c r="E58" s="9">
        <v>44819</v>
      </c>
      <c r="F58" s="8" t="s">
        <v>238</v>
      </c>
      <c r="G58" s="10">
        <v>600000</v>
      </c>
    </row>
    <row r="59" spans="1:7" x14ac:dyDescent="0.25">
      <c r="A59" s="6">
        <v>1</v>
      </c>
      <c r="B59" s="7">
        <v>58</v>
      </c>
      <c r="C59" t="s">
        <v>135</v>
      </c>
      <c r="D59" s="8">
        <v>100</v>
      </c>
      <c r="E59" s="9">
        <v>44825</v>
      </c>
      <c r="F59" s="8" t="s">
        <v>238</v>
      </c>
      <c r="G59" s="10">
        <v>400000</v>
      </c>
    </row>
    <row r="60" spans="1:7" x14ac:dyDescent="0.25">
      <c r="A60" s="6">
        <v>1</v>
      </c>
      <c r="B60" s="7">
        <v>59</v>
      </c>
      <c r="C60" t="s">
        <v>137</v>
      </c>
      <c r="D60" s="8">
        <v>100</v>
      </c>
      <c r="E60" s="9">
        <v>44830</v>
      </c>
      <c r="F60" s="8" t="s">
        <v>238</v>
      </c>
      <c r="G60" s="10">
        <v>1000000</v>
      </c>
    </row>
    <row r="61" spans="1:7" x14ac:dyDescent="0.25">
      <c r="A61" s="6">
        <v>1</v>
      </c>
      <c r="B61" s="7">
        <v>60</v>
      </c>
      <c r="C61" t="s">
        <v>139</v>
      </c>
      <c r="D61" s="8">
        <v>100</v>
      </c>
      <c r="E61" s="9">
        <v>44855</v>
      </c>
      <c r="F61" s="8" t="s">
        <v>238</v>
      </c>
      <c r="G61" s="10">
        <v>500000</v>
      </c>
    </row>
    <row r="62" spans="1:7" x14ac:dyDescent="0.25">
      <c r="A62" s="6">
        <v>1</v>
      </c>
      <c r="B62" s="7">
        <v>61</v>
      </c>
      <c r="C62" t="s">
        <v>263</v>
      </c>
      <c r="D62" s="8">
        <v>100</v>
      </c>
      <c r="E62" s="9">
        <v>44964</v>
      </c>
      <c r="F62" s="8" t="s">
        <v>238</v>
      </c>
      <c r="G62" s="10">
        <v>1000000</v>
      </c>
    </row>
    <row r="63" spans="1:7" x14ac:dyDescent="0.25">
      <c r="A63" s="6">
        <v>1</v>
      </c>
      <c r="B63" s="7">
        <v>62</v>
      </c>
      <c r="C63" t="s">
        <v>121</v>
      </c>
      <c r="D63" s="8">
        <v>100</v>
      </c>
      <c r="E63" s="9">
        <v>44979</v>
      </c>
      <c r="F63" s="8" t="s">
        <v>238</v>
      </c>
      <c r="G63" s="10">
        <v>1000000</v>
      </c>
    </row>
    <row r="64" spans="1:7" x14ac:dyDescent="0.25">
      <c r="A64" s="6">
        <v>1</v>
      </c>
      <c r="B64" s="7">
        <v>63</v>
      </c>
      <c r="C64" t="s">
        <v>265</v>
      </c>
      <c r="D64" s="8">
        <v>100</v>
      </c>
      <c r="E64" s="9">
        <v>44992</v>
      </c>
      <c r="F64" s="8" t="s">
        <v>238</v>
      </c>
      <c r="G64" s="10">
        <v>1000000</v>
      </c>
    </row>
    <row r="65" spans="1:7" x14ac:dyDescent="0.25">
      <c r="A65" s="6">
        <v>1</v>
      </c>
      <c r="B65" s="7">
        <v>64</v>
      </c>
      <c r="C65" t="s">
        <v>267</v>
      </c>
      <c r="D65" s="8">
        <v>100</v>
      </c>
      <c r="E65" s="9">
        <v>45065</v>
      </c>
      <c r="F65" s="8" t="s">
        <v>238</v>
      </c>
      <c r="G65" s="10">
        <v>1000000</v>
      </c>
    </row>
    <row r="66" spans="1:7" x14ac:dyDescent="0.25">
      <c r="A66" s="6">
        <v>1</v>
      </c>
      <c r="B66" s="7">
        <v>65</v>
      </c>
      <c r="C66" t="s">
        <v>269</v>
      </c>
      <c r="D66" s="8">
        <v>100</v>
      </c>
      <c r="E66" s="9">
        <v>45071</v>
      </c>
      <c r="F66" s="8" t="s">
        <v>238</v>
      </c>
      <c r="G66" s="10">
        <v>1000000</v>
      </c>
    </row>
    <row r="67" spans="1:7" x14ac:dyDescent="0.25">
      <c r="A67" s="6">
        <v>1</v>
      </c>
      <c r="B67" s="7">
        <v>66</v>
      </c>
      <c r="C67" t="s">
        <v>271</v>
      </c>
      <c r="D67" s="8">
        <v>100</v>
      </c>
      <c r="E67" s="9">
        <v>45055</v>
      </c>
      <c r="F67" s="8" t="s">
        <v>238</v>
      </c>
      <c r="G67" s="10">
        <v>1000000</v>
      </c>
    </row>
    <row r="68" spans="1:7" x14ac:dyDescent="0.25">
      <c r="A68" s="6">
        <v>1</v>
      </c>
      <c r="B68" s="7">
        <v>67</v>
      </c>
      <c r="C68">
        <v>2017009</v>
      </c>
      <c r="D68" s="8">
        <v>100</v>
      </c>
      <c r="E68" s="9">
        <v>43048</v>
      </c>
      <c r="F68" s="8" t="s">
        <v>274</v>
      </c>
      <c r="G68" s="10">
        <v>1048676.71</v>
      </c>
    </row>
    <row r="69" spans="1:7" x14ac:dyDescent="0.25">
      <c r="A69" s="6">
        <v>1</v>
      </c>
      <c r="B69" s="7">
        <v>68</v>
      </c>
      <c r="C69">
        <v>2023016</v>
      </c>
      <c r="D69" s="8">
        <v>100</v>
      </c>
      <c r="E69" s="9">
        <v>45187</v>
      </c>
      <c r="F69" s="8" t="s">
        <v>274</v>
      </c>
      <c r="G69" s="10">
        <v>1000000</v>
      </c>
    </row>
    <row r="70" spans="1:7" x14ac:dyDescent="0.25">
      <c r="A70" s="6">
        <v>1</v>
      </c>
      <c r="B70" s="7">
        <v>69</v>
      </c>
      <c r="C70">
        <v>2023014</v>
      </c>
      <c r="D70" s="8">
        <v>100</v>
      </c>
      <c r="E70" s="9">
        <v>45079</v>
      </c>
      <c r="F70" s="8" t="s">
        <v>274</v>
      </c>
      <c r="G70" s="10">
        <v>1000000</v>
      </c>
    </row>
    <row r="71" spans="1:7" x14ac:dyDescent="0.25">
      <c r="A71" s="6">
        <v>1</v>
      </c>
      <c r="B71" s="7">
        <v>70</v>
      </c>
      <c r="C71">
        <v>2023009</v>
      </c>
      <c r="D71" s="8">
        <v>100</v>
      </c>
      <c r="E71" s="9">
        <v>45063</v>
      </c>
      <c r="F71" s="8" t="s">
        <v>274</v>
      </c>
      <c r="G71" s="10">
        <v>5000000</v>
      </c>
    </row>
    <row r="72" spans="1:7" x14ac:dyDescent="0.25">
      <c r="A72" s="6">
        <v>1</v>
      </c>
      <c r="B72" s="7">
        <v>71</v>
      </c>
      <c r="C72">
        <v>2023010</v>
      </c>
      <c r="D72" s="8">
        <v>100</v>
      </c>
      <c r="E72" s="9">
        <v>45065</v>
      </c>
      <c r="F72" s="8" t="s">
        <v>274</v>
      </c>
      <c r="G72" s="10">
        <v>3000000</v>
      </c>
    </row>
    <row r="73" spans="1:7" x14ac:dyDescent="0.25">
      <c r="A73" s="6">
        <v>1</v>
      </c>
      <c r="B73" s="7">
        <v>72</v>
      </c>
      <c r="C73">
        <v>2023004</v>
      </c>
      <c r="D73" s="8">
        <v>100</v>
      </c>
      <c r="E73" s="9">
        <v>45019</v>
      </c>
      <c r="F73" s="8" t="s">
        <v>274</v>
      </c>
      <c r="G73" s="10">
        <v>1000000</v>
      </c>
    </row>
    <row r="74" spans="1:7" x14ac:dyDescent="0.25">
      <c r="A74" s="6">
        <v>1</v>
      </c>
      <c r="B74" s="7">
        <v>73</v>
      </c>
      <c r="C74">
        <v>2023005</v>
      </c>
      <c r="D74" s="8">
        <v>100</v>
      </c>
      <c r="E74" s="9">
        <v>45028</v>
      </c>
      <c r="F74" s="8" t="s">
        <v>274</v>
      </c>
      <c r="G74" s="10">
        <v>2000000</v>
      </c>
    </row>
    <row r="75" spans="1:7" x14ac:dyDescent="0.25">
      <c r="A75" s="6">
        <v>1</v>
      </c>
      <c r="B75" s="7">
        <v>74</v>
      </c>
      <c r="C75">
        <v>2023011</v>
      </c>
      <c r="D75" s="8">
        <v>100</v>
      </c>
      <c r="E75" s="9">
        <v>45071</v>
      </c>
      <c r="F75" s="8" t="s">
        <v>274</v>
      </c>
      <c r="G75" s="10">
        <v>3000000</v>
      </c>
    </row>
    <row r="76" spans="1:7" x14ac:dyDescent="0.25">
      <c r="A76" s="6">
        <v>1</v>
      </c>
      <c r="B76" s="7">
        <v>75</v>
      </c>
      <c r="C76">
        <v>2023012</v>
      </c>
      <c r="D76" s="8">
        <v>100</v>
      </c>
      <c r="E76" s="9">
        <v>45071</v>
      </c>
      <c r="F76" s="8" t="s">
        <v>274</v>
      </c>
      <c r="G76" s="10">
        <v>3000000</v>
      </c>
    </row>
    <row r="77" spans="1:7" x14ac:dyDescent="0.25">
      <c r="A77" s="6">
        <v>1</v>
      </c>
      <c r="B77" s="7">
        <v>76</v>
      </c>
      <c r="C77">
        <v>2023013</v>
      </c>
      <c r="D77" s="8">
        <v>100</v>
      </c>
      <c r="E77" s="9">
        <v>45068</v>
      </c>
      <c r="F77" s="8" t="s">
        <v>274</v>
      </c>
      <c r="G77" s="10">
        <v>3000000</v>
      </c>
    </row>
    <row r="78" spans="1:7" x14ac:dyDescent="0.25">
      <c r="A78" s="6">
        <v>1</v>
      </c>
      <c r="B78" s="7">
        <v>77</v>
      </c>
      <c r="C78">
        <v>2023015</v>
      </c>
      <c r="D78" s="8">
        <v>100</v>
      </c>
      <c r="E78" s="9">
        <v>45107</v>
      </c>
      <c r="F78" s="8" t="s">
        <v>274</v>
      </c>
      <c r="G78" s="10">
        <v>1000000</v>
      </c>
    </row>
    <row r="79" spans="1:7" x14ac:dyDescent="0.25">
      <c r="A79" s="6">
        <v>1</v>
      </c>
      <c r="B79" s="7">
        <v>78</v>
      </c>
      <c r="C79">
        <v>2023017</v>
      </c>
      <c r="D79" s="8">
        <v>100</v>
      </c>
      <c r="E79" s="9">
        <v>45190</v>
      </c>
      <c r="F79" s="8" t="s">
        <v>274</v>
      </c>
      <c r="G79" s="10">
        <v>11218000</v>
      </c>
    </row>
  </sheetData>
  <pageMargins left="0.7" right="0.7" top="0.78740157499999996" bottom="0.78740157499999996" header="0.3" footer="0.3"/>
  <customProperties>
    <customPr name="_pios_id" r:id="rId1"/>
  </customPropertie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6076994-E26B-45BC-B15E-45EF6D895B3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10</vt:i4>
      </vt:variant>
    </vt:vector>
  </HeadingPairs>
  <TitlesOfParts>
    <vt:vector size="10" baseType="lpstr">
      <vt:lpstr>INPUT_ISSUER</vt:lpstr>
      <vt:lpstr>INPUT_BONDS</vt:lpstr>
      <vt:lpstr>INPUT_DEALS</vt:lpstr>
      <vt:lpstr>EUSW</vt:lpstr>
      <vt:lpstr>INPUT_RANK</vt:lpstr>
      <vt:lpstr>ERSTE_EUSW</vt:lpstr>
      <vt:lpstr>INPUT_BONDS_FRN</vt:lpstr>
      <vt:lpstr>INPUT_BONDS (2)</vt:lpstr>
      <vt:lpstr>INPUT_BONDS_orig</vt:lpstr>
      <vt:lpstr>INPUT_DEALS_orig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Ronald Schaufler</dc:creator>
  <cp:lastModifiedBy>Ronald Schaufler</cp:lastModifiedBy>
  <dcterms:created xsi:type="dcterms:W3CDTF">2023-07-03T06:18:47Z</dcterms:created>
  <dcterms:modified xsi:type="dcterms:W3CDTF">2024-02-28T12:37:09Z</dcterms:modified>
</cp:coreProperties>
</file>